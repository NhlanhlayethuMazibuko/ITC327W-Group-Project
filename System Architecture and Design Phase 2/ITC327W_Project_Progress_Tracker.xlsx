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unio\Downloads\"/>
    </mc:Choice>
  </mc:AlternateContent>
  <xr:revisionPtr revIDLastSave="0" documentId="13_ncr:1_{F403AB8B-842B-472B-B390-6107F66382AF}" xr6:coauthVersionLast="47" xr6:coauthVersionMax="47" xr10:uidLastSave="{00000000-0000-0000-0000-000000000000}"/>
  <bookViews>
    <workbookView xWindow="-108" yWindow="-108" windowWidth="23256" windowHeight="12456" firstSheet="1" activeTab="2"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15" i="2"/>
  <c r="G14" i="2"/>
  <c r="G13" i="2"/>
  <c r="G12" i="2"/>
  <c r="B11" i="2"/>
  <c r="G8" i="2"/>
  <c r="G7" i="2"/>
  <c r="G6" i="2"/>
  <c r="G5" i="2"/>
  <c r="G4" i="2"/>
  <c r="G9" i="2" l="1"/>
</calcChain>
</file>

<file path=xl/sharedStrings.xml><?xml version="1.0" encoding="utf-8"?>
<sst xmlns="http://schemas.openxmlformats.org/spreadsheetml/2006/main" count="628" uniqueCount="379">
  <si>
    <t>Stakeholder Engagement Record</t>
  </si>
  <si>
    <t>Date</t>
  </si>
  <si>
    <t>Reporting Phase</t>
  </si>
  <si>
    <t>Type of Engagement</t>
  </si>
  <si>
    <t>Purpose</t>
  </si>
  <si>
    <t>Students Present</t>
  </si>
  <si>
    <t>Stakeholder Present / Role</t>
  </si>
  <si>
    <t>Main Findings</t>
  </si>
  <si>
    <t>Action Required</t>
  </si>
  <si>
    <t>Evidence / Link</t>
  </si>
  <si>
    <t>Unit 1 / Phase 1</t>
  </si>
  <si>
    <t>Stakeholder Interview</t>
  </si>
  <si>
    <t>To understand the current accommodation process, problems, stakeholder needs and required system improvements.</t>
  </si>
  <si>
    <t>NL Mazibuko, AL Hadebe, MN Dlamini, LW Simelane, NP Khotle, PA Mabusela</t>
  </si>
  <si>
    <t>Mr Ngubane - Student Accommodation Owner</t>
  </si>
  <si>
    <t>Accommodation enquiries currently rely on physical viewings, word-of-mouth, WhatsApp groups and taxi association advertising. Bookings and payments are managed manually. Students have difficulty accessing accommodation information remotely, and first-year students may be exposed to accommodation scams. The stakeholder wants students to view availability, apply, book and check status, while management should manage applications, student information, occupancy and accommodation information.</t>
  </si>
  <si>
    <t>Document the stakeholder needs, define the initial scope and develop preliminary mobile and web requirements.</t>
  </si>
  <si>
    <t>Stakeholder and Problem Analysis.pdf</t>
  </si>
  <si>
    <t>Phase 2</t>
  </si>
  <si>
    <t>Online Meeting</t>
  </si>
  <si>
    <t>Review the proposed system architecture, UML, ERD and mobile/web interface designs with the stakeholder and confirm that the design remains aligned with the accommodation business needs.</t>
  </si>
  <si>
    <t>NL Mazibuko</t>
  </si>
  <si>
    <t>The proposed design was reviewed against the stakeholder requirements, with attention to accommodation information, applications, bookings, student information, availability, payment-status information, maintenance/breakages and feedback.</t>
  </si>
  <si>
    <t>Apply agreed design adjustments and retain the feedback record as evidence for the final design baseline.</t>
  </si>
  <si>
    <t>ITC327W Project Progress and Contribution Workbook</t>
  </si>
  <si>
    <t>Use this workbook throughout the semester. Update it after each project phase and submit the same workbook again so that progress can be tracked over time.</t>
  </si>
  <si>
    <t>Sheet</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</si>
  <si>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</si>
  <si>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</si>
  <si>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</si>
  <si>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</si>
  <si>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</si>
  <si>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</si>
  <si>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</si>
  <si>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</si>
  <si>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</si>
  <si>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</si>
  <si>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</si>
  <si>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</si>
  <si>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</si>
  <si>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</si>
  <si>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</si>
  <si>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</si>
  <si>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</si>
  <si>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</si>
  <si>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</si>
  <si>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</si>
  <si>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</si>
  <si>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</si>
  <si>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</si>
  <si>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</si>
  <si>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</si>
  <si>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</si>
  <si>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</si>
  <si>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</si>
  <si>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Planning, stakeholder engagement, requirements and initial SRS</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</si>
  <si>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</si>
  <si>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</si>
  <si>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</si>
  <si>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</si>
  <si>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</si>
  <si>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</si>
  <si>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</si>
  <si>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</si>
  <si>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</si>
  <si>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</si>
  <si>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</si>
  <si>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Group N</t>
  </si>
  <si>
    <t>Completed</t>
  </si>
  <si>
    <t>Project title</t>
  </si>
  <si>
    <t>Big Brother Student Accommodation Management System</t>
  </si>
  <si>
    <t>In Progress</t>
  </si>
  <si>
    <t>Stakeholder or organisation</t>
  </si>
  <si>
    <t>Big Brother Student Accommodation</t>
  </si>
  <si>
    <t>Not Started</t>
  </si>
  <si>
    <t>Group mentor</t>
  </si>
  <si>
    <t>N Mabanza, M Mbele, N Grobbelaar</t>
  </si>
  <si>
    <t>Delayed</t>
  </si>
  <si>
    <t>Reporting phase</t>
  </si>
  <si>
    <t>Blocked</t>
  </si>
  <si>
    <t>Reporting period</t>
  </si>
  <si>
    <t>10 September 2026 - 13 October 2026</t>
  </si>
  <si>
    <t>Overdue</t>
  </si>
  <si>
    <t>Overall status</t>
  </si>
  <si>
    <t>Overall % complete</t>
  </si>
  <si>
    <t>Contribution Summary</t>
  </si>
  <si>
    <t>Main achievement</t>
  </si>
  <si>
    <t>The group completed the Phase 2 system design baseline, including the updated SRS, architecture, UML diagrams, ERD, mobile and web interface designs, navigation flows and design alignment checks.</t>
  </si>
  <si>
    <t>Contribution entries</t>
  </si>
  <si>
    <t>Main challenge</t>
  </si>
  <si>
    <t>The main challenge was keeping the architecture, UML, ERD and interface designs consistent as the system design was refined.</t>
  </si>
  <si>
    <t>Verified entries</t>
  </si>
  <si>
    <t>Next planned activity</t>
  </si>
  <si>
    <t>Proceed to development and integration while maintaining alignment with the approved SRS, architecture, database design and interface designs.</t>
  </si>
  <si>
    <t>Unverified entries</t>
  </si>
  <si>
    <t>Stakeholder engagements</t>
  </si>
  <si>
    <t>Task Progress Tracker</t>
  </si>
  <si>
    <t>Task ID</t>
  </si>
  <si>
    <t>Activity</t>
  </si>
  <si>
    <t>Task Description</t>
  </si>
  <si>
    <t>Assigned Student(s)</t>
  </si>
  <si>
    <t>Start Date</t>
  </si>
  <si>
    <t>Due Date</t>
  </si>
  <si>
    <t>Status</t>
  </si>
  <si>
    <t>% Complete</t>
  </si>
  <si>
    <t>Verified by Group</t>
  </si>
  <si>
    <t>Lecturer Comment</t>
  </si>
  <si>
    <t>Progress Flag</t>
  </si>
  <si>
    <t>U1-01</t>
  </si>
  <si>
    <t>Activity 1.1</t>
  </si>
  <si>
    <t>Identify and confirm the external stakeholder</t>
  </si>
  <si>
    <t>Stakeholder and Problem Analysis.docx</t>
  </si>
  <si>
    <t>Yes</t>
  </si>
  <si>
    <t>U1-02</t>
  </si>
  <si>
    <t>Document the current process and problem</t>
  </si>
  <si>
    <t>PA Mabusela</t>
  </si>
  <si>
    <t>Software Requirement Specification.docx</t>
  </si>
  <si>
    <t>U1-03</t>
  </si>
  <si>
    <t>Define the project aim, objectives and scope</t>
  </si>
  <si>
    <t>MN Dlamini, NP Khotle</t>
  </si>
  <si>
    <t>Non-Functional, System &amp; Integration Requirements.pdf</t>
  </si>
  <si>
    <t>U1-04</t>
  </si>
  <si>
    <t>Activity 1.2</t>
  </si>
  <si>
    <t>Prepare stakeholder interview questions</t>
  </si>
  <si>
    <t>NP Khotle, MN Dlamini</t>
  </si>
  <si>
    <t>U1-05</t>
  </si>
  <si>
    <t>Conduct and document the stakeholder interview</t>
  </si>
  <si>
    <t>AL Hadebe, PA Mabusela, NL Mazibuko</t>
  </si>
  <si>
    <t>U1-06</t>
  </si>
  <si>
    <t>Activity 1.3</t>
  </si>
  <si>
    <t>Compile the initial SRS</t>
  </si>
  <si>
    <t>MN Dlamini</t>
  </si>
  <si>
    <t xml:space="preserve"> ITC327W_Work Integrated Learning(1).pdf</t>
  </si>
  <si>
    <t>U1-07</t>
  </si>
  <si>
    <t>Create the initial Microsoft Project schedule</t>
  </si>
  <si>
    <t>LW Simelane</t>
  </si>
  <si>
    <t>WIL Project.mpp</t>
  </si>
  <si>
    <t>U1-08</t>
  </si>
  <si>
    <t>Create and configure the GitHub repository</t>
  </si>
  <si>
    <t>Github link: https://github.com/NhlanhlayethuMazibuko/ITC327W-Group-Project.git</t>
  </si>
  <si>
    <t>U1-09</t>
  </si>
  <si>
    <t>Create the initial Supabase project</t>
  </si>
  <si>
    <t>AL Hadebe</t>
  </si>
  <si>
    <t>Supabase link: https://supabase.com/dashboard/project/gtpujwmtglyffnzhbklo</t>
  </si>
  <si>
    <t>U1-10</t>
  </si>
  <si>
    <t>Complete the progress report and contribution record</t>
  </si>
  <si>
    <t>JO Molaba</t>
  </si>
  <si>
    <t>ITC327W Project Progress Tracker.xlsx</t>
  </si>
  <si>
    <t>U1-11</t>
  </si>
  <si>
    <t>Complete the Unit 1 group reflection</t>
  </si>
  <si>
    <t>JO Molaba, with group input</t>
  </si>
  <si>
    <t>P2-01</t>
  </si>
  <si>
    <t>Activity 3.1</t>
  </si>
  <si>
    <t>Review and update the approved SRS for the system design phase</t>
  </si>
  <si>
    <t>P2-02</t>
  </si>
  <si>
    <t>Activity 3.2</t>
  </si>
  <si>
    <t>Develop the System Architecture Diagram and written architecture explanation</t>
  </si>
  <si>
    <t>M Lesenyelo</t>
  </si>
  <si>
    <t>P2-03</t>
  </si>
  <si>
    <t>Develop the UML Use Case Diagram with actors and use cases</t>
  </si>
  <si>
    <t>L Sandi</t>
  </si>
  <si>
    <t>P2-04</t>
  </si>
  <si>
    <t>Develop the Flutter mobile Sequence Diagram</t>
  </si>
  <si>
    <t>NP Khotle</t>
  </si>
  <si>
    <t>P2-05</t>
  </si>
  <si>
    <t>Develop the ASP.NET web Sequence Diagram</t>
  </si>
  <si>
    <t>M Mokhele</t>
  </si>
  <si>
    <t>P2-06</t>
  </si>
  <si>
    <t>Develop the Entity Relationship Diagram with entities, attributes, keys and relationships</t>
  </si>
  <si>
    <t>P2-07</t>
  </si>
  <si>
    <t>Activity 3.3</t>
  </si>
  <si>
    <t>Identify required Flutter screens and prepare mobile UI wireframes</t>
  </si>
  <si>
    <t>P2-08</t>
  </si>
  <si>
    <t>Identify required ASP.NET pages and prepare web UI wireframes</t>
  </si>
  <si>
    <t>P2-09</t>
  </si>
  <si>
    <t>Develop mobile and web navigation flows</t>
  </si>
  <si>
    <t>NL Mazibuko, L Sandi</t>
  </si>
  <si>
    <t>P2-10</t>
  </si>
  <si>
    <t>Check alignment between requirements, architecture, use cases, sequences, ERD and interfaces</t>
  </si>
  <si>
    <t>PA Mabusela, M Lesenyelo, MN Dlamini</t>
  </si>
  <si>
    <t>P2-11</t>
  </si>
  <si>
    <t>Obtain and record stakeholder feedback on the system designs</t>
  </si>
  <si>
    <t>P2-12</t>
  </si>
  <si>
    <t>Apply agreed design corrections and finalise the system design baseline</t>
  </si>
  <si>
    <t>L Sandi, JO Molaba, M Lesenyelo, MN Dlamini, NP Khotle, M Mokhele, PA Mabusela, NL Mazibuko, LW Simelane, AL Hadebe</t>
  </si>
  <si>
    <t>P2-13</t>
  </si>
  <si>
    <t>Update Microsoft Project and Gantt Chart, GitHub documentation and project progress records</t>
  </si>
  <si>
    <t>P2-14</t>
  </si>
  <si>
    <t>Project Progress Tracker(Tasks and Contributions)</t>
  </si>
  <si>
    <t>Individual Contribution Record</t>
  </si>
  <si>
    <t>Student Name</t>
  </si>
  <si>
    <t>Student Number</t>
  </si>
  <si>
    <t>Assigned Responsibility</t>
  </si>
  <si>
    <t>Work Personally Completed</t>
  </si>
  <si>
    <t>Date Completed</t>
  </si>
  <si>
    <t>Hours Spent</t>
  </si>
  <si>
    <t>Verification Date</t>
  </si>
  <si>
    <t>Notes</t>
  </si>
  <si>
    <t>Activity 1.1 and Activity 1.3</t>
  </si>
  <si>
    <t>Stakeholder Liaison &amp; Problem Analysis Lead/ Github set up</t>
  </si>
  <si>
    <t>Identified and confirmed the external stakeholder, documented the stakeholder profile, investigated the current accommodation process, contributed to the problem statement, and created the project GitHub repository.</t>
  </si>
  <si>
    <t>1. Stakeholder and Problem Analysis.docx                                                    2. Github link: https://github.com/NhlanhlayethuMazibuko/ITC327W-Group-Project.git</t>
  </si>
  <si>
    <t>Completed assigned stakeholder and problem-analysis responsibilities and established the project's GitHub repository.</t>
  </si>
  <si>
    <t>Current Process &amp; Diagram Specialist</t>
  </si>
  <si>
    <t>Documented the current accommodation process, identified process participants, prepared the current-process diagram and contributed to defining project scope, constraints and assumptions.</t>
  </si>
  <si>
    <t>Completed assigned current-process and scope responsibilities.</t>
  </si>
  <si>
    <t>Functional Requirements Writer</t>
  </si>
  <si>
    <t>Developed the preliminary functional requirements for the student mobile application and management web application based on the stakeholder's identified needs.</t>
  </si>
  <si>
    <t>FUNCTIONAL REQUIREMENTS.docx</t>
  </si>
  <si>
    <t>Completed assigned functional requirements responsibilities.</t>
  </si>
  <si>
    <t>Non-Functional, System &amp; Integration Requirements Writer</t>
  </si>
  <si>
    <t>Developed the preliminary non-functional, system and integration requirements and contributed to requirements prioritisation.</t>
  </si>
  <si>
    <t>6 hours</t>
  </si>
  <si>
    <t>Completed assigned non-functional, system and integration requirements responsibilities.</t>
  </si>
  <si>
    <t>SRS Compiler &amp; Editor</t>
  </si>
  <si>
    <t>Compiled and edited the initial Software Requirements Specification (SRS), combining the group's stakeholder, problem, scope and requirements information.</t>
  </si>
  <si>
    <t xml:space="preserve"> ITC327W_Work Integrated Learning(2).pdf</t>
  </si>
  <si>
    <t>Completed assigned initial SRS compilation and editing responsibilities.</t>
  </si>
  <si>
    <t>Feasibility Analyst – Technical, Operational, Economic, Schedule, Legal &amp; Ethical</t>
  </si>
  <si>
    <t>Completed the technical, operational, economic, schedule, legal and ethical feasibility analysis for the proposed student accommodation management system.</t>
  </si>
  <si>
    <t>12 hours</t>
  </si>
  <si>
    <t>Feasibility Study.docx</t>
  </si>
  <si>
    <t>Completed all assigned feasibility study responsibilities</t>
  </si>
  <si>
    <t xml:space="preserve"> Risk Register Owner</t>
  </si>
  <si>
    <t>Identified and documented project risks in the Risk Register, including risk categories, likelihood, impact, risk scores, mitigation actions, contingency actions, owners and statuses.</t>
  </si>
  <si>
    <t>2 hours</t>
  </si>
  <si>
    <t>Project Risk Register.xlsx</t>
  </si>
  <si>
    <t>Completed the assigned Risk Register responsibilities.</t>
  </si>
  <si>
    <t>Microsoft Project Scheduler</t>
  </si>
  <si>
    <t>Created the initial Microsoft Project schedule, including project activities, dates, responsibilities, dependencies and milestones.</t>
  </si>
  <si>
    <t>Completed assigned Microsoft Project scheduling responsibilities.</t>
  </si>
  <si>
    <t>Supabase Setup Lead</t>
  </si>
  <si>
    <t>Created and configured the initial Supabase project and prepared the backend environment for the project.</t>
  </si>
  <si>
    <t>Completed the assigned Supabase setup responsibilities</t>
  </si>
  <si>
    <t>Molaba JO</t>
  </si>
  <si>
    <t>Progress Tracker &amp; Coordination Lead</t>
  </si>
  <si>
    <t>Updated the Project Progress Tracker and coordinated the collection of task progress and evidence from group members.</t>
  </si>
  <si>
    <t>8 hours</t>
  </si>
  <si>
    <t>ITC327W Project Progress Tracker_2026.xlsx</t>
  </si>
  <si>
    <t>Responsible for monitoring group progress and coordinating task updates.</t>
  </si>
  <si>
    <t>Activity 3.2 and 3.3</t>
  </si>
  <si>
    <t>Lead Mobile UI Designer &amp; Use Case Analyst</t>
  </si>
  <si>
    <t>Completed the use case analysis and mobile interface design, including Flutter screen planning and mobile wireframes.</t>
  </si>
  <si>
    <t>Completed assigned Phase 2 mobile UI and use case responsibilities.</t>
  </si>
  <si>
    <t>Lead Web UI Designer</t>
  </si>
  <si>
    <t>Completed the ASP.NET page list, web navigation flow and management-side web UI wireframes, aligned with the approved requirements and database fields.</t>
  </si>
  <si>
    <t>Completed assigned Phase 2 web interface design responsibilities.</t>
  </si>
  <si>
    <t>System Architect</t>
  </si>
  <si>
    <t>Completed the system architecture design and helped align the architecture with the SRS, UML, ERD and interface designs.</t>
  </si>
  <si>
    <t>19 hours</t>
  </si>
  <si>
    <t>Completed assigned architecture and alignment responsibilities.</t>
  </si>
  <si>
    <t>Database Architect &amp; ERD Lead</t>
  </si>
  <si>
    <t>Completed the ERD and checked that interface data and system requirements were supported by the database design.</t>
  </si>
  <si>
    <t>Completed assigned database design responsibilities.</t>
  </si>
  <si>
    <t>Mobile Sequence Lead</t>
  </si>
  <si>
    <t>Completed the Flutter mobile sequence diagram showing the required user, application and Supabase interactions.</t>
  </si>
  <si>
    <t>Completed assigned mobile sequence design responsibilities.</t>
  </si>
  <si>
    <t>Web Sequence Lead</t>
  </si>
  <si>
    <t>Completed the ASP.NET web sequence diagram showing management interactions with the web application and Supabase.</t>
  </si>
  <si>
    <t>Completed assigned web sequence design responsibilities.</t>
  </si>
  <si>
    <t>Activity 3.1 and 3.3</t>
  </si>
  <si>
    <t>Design Alignment &amp; SRS Coordinator</t>
  </si>
  <si>
    <t>Updated the SRS for the design phase and coordinated the alignment review across requirements, architecture, UML, ERD and interfaces.</t>
  </si>
  <si>
    <t>Completed assigned SRS and design-alignment responsibilities.</t>
  </si>
  <si>
    <t>Stakeholder Manager</t>
  </si>
  <si>
    <t>Coordinated the design feedback process, recorded stakeholder feedback and communicated required design adjustments to the group.</t>
  </si>
  <si>
    <t>Completed assigned stakeholder feedback responsibilities.</t>
  </si>
  <si>
    <t>Project Manager</t>
  </si>
  <si>
    <t>Completed assigned Phase 2 project scheduling and coordination responsibilities.</t>
  </si>
  <si>
    <t>Documentation &amp; GitHub Repository Manager</t>
  </si>
  <si>
    <t>Organised Phase 2 design evidence, updated GitHub documentation and prepared the final Phase 2 evidence package.</t>
  </si>
  <si>
    <t>GitHub Phase 2 documentation; Phase 2 Evidence Package</t>
  </si>
  <si>
    <t>Completed assigned documentation and repository responsibilities.</t>
  </si>
  <si>
    <t>Challenges and Corrective Actions</t>
  </si>
  <si>
    <t>Date Identified</t>
  </si>
  <si>
    <t>Challenge</t>
  </si>
  <si>
    <t>Effect on Progress</t>
  </si>
  <si>
    <t>Corrective Action</t>
  </si>
  <si>
    <t>Responsible Student</t>
  </si>
  <si>
    <t>Target Date</t>
  </si>
  <si>
    <t>The group experienced difficulty identifying and securing a suitable external stakeholder for the project.</t>
  </si>
  <si>
    <t>Delayed the start of stakeholder investigation, interview activities and requirements gathering.</t>
  </si>
  <si>
    <t>Group members contacted potential organisations and followed up until a suitable stakeholder, Big Brother Accommodation, agreed to participate.</t>
  </si>
  <si>
    <t>Resolved</t>
  </si>
  <si>
    <t>Incorporating stakeholder feedback without introducing functionality outside the approved scope.</t>
  </si>
  <si>
    <t>Late design changes could affect completed interfaces and alignment work.</t>
  </si>
  <si>
    <t>Recorded stakeholder feedback, checked requested changes against the SRS and applied only agreed in-scope corrections.</t>
  </si>
  <si>
    <t>Phase Progress Summary</t>
  </si>
  <si>
    <t>Summary Information</t>
  </si>
  <si>
    <t>Phase Completion Checklist</t>
  </si>
  <si>
    <t>Initial or updated SRS completed</t>
  </si>
  <si>
    <t>2026-09-10 – 2026-10-13</t>
  </si>
  <si>
    <t>Progress report updated</t>
  </si>
  <si>
    <t>Overall phase status</t>
  </si>
  <si>
    <t>Individual contributions recorded</t>
  </si>
  <si>
    <t>What was completed during this phase?</t>
  </si>
  <si>
    <t>The group completed the Phase 2 system design work. This included reviewing and updating the SRS, developing the system architecture, UML use case and sequence diagrams, ERD, Flutter mobile interfaces, ASP.NET web interfaces, navigation flows and cross-design alignment checks. Stakeholder design feedback was recorded and the agreed design baseline was finalised.</t>
  </si>
  <si>
    <t>Stakeholder engagement recorded</t>
  </si>
  <si>
    <t>What remains incomplete?</t>
  </si>
  <si>
    <t>No major Phase 2 deliverable remains incomplete. The project is ready to move from design into development and integration.</t>
  </si>
  <si>
    <t>Challenges and actions updated</t>
  </si>
  <si>
    <t>Why is it incomplete?</t>
  </si>
  <si>
    <t>Not applicable because the planned Phase 2 design deliverables were completed. Any minor corrections were handled during the alignment and review activities.</t>
  </si>
  <si>
    <t>Group reflection completed</t>
  </si>
  <si>
    <t>Which contributions were particularly important?</t>
  </si>
  <si>
    <t>Architecture, UML, ERD, interface design, stakeholder review, design alignment and progress/documentation updates were particularly important because they established a consistent baseline for development.</t>
  </si>
  <si>
    <t>Microsoft Project updated</t>
  </si>
  <si>
    <t>Were there participation concerns?</t>
  </si>
  <si>
    <t>No participation concern recorded. All ten members completed assigned Phase 2 responsibilities.</t>
  </si>
  <si>
    <t>GitHub evidence available</t>
  </si>
  <si>
    <t>What will the group improve in the next phase?</t>
  </si>
  <si>
    <t>Maintain tighter alignment between development tasks and the approved design, continue updating the tracker regularly, and record evidence as each development and integration task is completed.</t>
  </si>
  <si>
    <t>Confidential peer check completed</t>
  </si>
  <si>
    <t>Main priority for the next phase</t>
  </si>
  <si>
    <t>Begin development and integration of the Flutter mobile application, ASP.NET web application and Supabase backend using the approved Phase 2 design baseline.</t>
  </si>
  <si>
    <t>Reflection Information</t>
  </si>
  <si>
    <t>Reflection Guidance</t>
  </si>
  <si>
    <t>Length</t>
  </si>
  <si>
    <t>Approximately 300–400 words in total.</t>
  </si>
  <si>
    <t>Focus</t>
  </si>
  <si>
    <t>Discuss the group’s actual experience, not the activity instructions.</t>
  </si>
  <si>
    <t>Most important learning from this phase</t>
  </si>
  <si>
    <t>The group learned that system design requires continuous alignment between requirements, architecture, UML diagrams, database design and user interfaces. A change in one artefact can affect other parts of the system, so reviewing the designs together was important before development.</t>
  </si>
  <si>
    <t>Honesty</t>
  </si>
  <si>
    <t>Identifying a genuine challenge will not disadvantage the group when an improvement action is provided.</t>
  </si>
  <si>
    <t>What went well and why?</t>
  </si>
  <si>
    <t>The group successfully produced the main Phase 2 design artefacts, including the architecture, use case diagram, sequence diagrams, ERD and mobile/web interfaces. The team also reviewed the designs against the approved requirements and prepared the project for development.</t>
  </si>
  <si>
    <t>Evidence</t>
  </si>
  <si>
    <t>Ensure that claims about participation agree with the contribution record, Microsoft Project and GitHub.</t>
  </si>
  <si>
    <t>What was difficult and why?</t>
  </si>
  <si>
    <t>The main difficulty was keeping the different design artefacts consistent while several members were working on them at the same time. It was also necessary to control the scope so that interface designs did not introduce functions that were not supported by the approved requirements.</t>
  </si>
  <si>
    <t>Research use</t>
  </si>
  <si>
    <t>Student work may only be used for research after the required ethical approval and consent processes.</t>
  </si>
  <si>
    <t>How were tasks divided among members?</t>
  </si>
  <si>
    <t>Tasks were divided according to the Phase 2 responsibilities, with members covering mobile UI and use cases, web UI, architecture, database/ERD, mobile and web sequences, SRS/design alignment, stakeholder feedback, project management and documentation/GitHub.</t>
  </si>
  <si>
    <t>Did all members contribute fairly? Explain.</t>
  </si>
  <si>
    <t>Yes. For the purposes of this Phase 2 record, all ten members completed the responsibilities assigned to them and contributed to the required design deliverables.</t>
  </si>
  <si>
    <t>How did the group handle disagreements or delays?</t>
  </si>
  <si>
    <t>The group handled design differences by reviewing the relevant requirements and checking the affected artefacts together. Alignment reviews were used to identify and resolve inconsistencies before the design baseline was finalised.</t>
  </si>
  <si>
    <t>What did the group learn from the stakeholder?</t>
  </si>
  <si>
    <t>The stakeholder requirements continued to guide the design, particularly the need for easier access to accommodation information, student applications and bookings, management control of student information, accommodation management, simulated payment-status information and improved protection of student information.</t>
  </si>
  <si>
    <t>Improvement action 1 for the next phase</t>
  </si>
  <si>
    <t>Keep the development work aligned with the approved design and update the progress tracker and evidence records regularly.</t>
  </si>
  <si>
    <t>Improvement action 2 for the next phase</t>
  </si>
  <si>
    <t>Use the approved SRS and design baseline as the reference point for development, integration and testing, and avoid adding features that are outside the agreed scope.</t>
  </si>
  <si>
    <t>Priority for the next phase</t>
  </si>
  <si>
    <t>Start development and integration while continuing to monitor progress, record evidence and validate the implementation against the approved system design.</t>
  </si>
  <si>
    <t>10 hours</t>
  </si>
  <si>
    <t>18 hours</t>
  </si>
  <si>
    <t>9 hours</t>
  </si>
  <si>
    <t>11 hours</t>
  </si>
  <si>
    <t>PA Mabusela, AL Hadebe</t>
  </si>
  <si>
    <t>222021446, 223000608</t>
  </si>
  <si>
    <t>Monitored Phase 2 completion, coordinated design milestones and ensured the project schedule and progress records were updated.</t>
  </si>
  <si>
    <t>Updated MS Project.mpp, ITC327W Project Progress Tracker_2026.xlsx</t>
  </si>
  <si>
    <t>LW Simelane, JO Molaba</t>
  </si>
  <si>
    <t>224022386, 224067603</t>
  </si>
  <si>
    <t>WhatsApp Feedback Screenshot.pdf</t>
  </si>
  <si>
    <t>The stakeholder took longer than expected to respond to the group's request for information and feedback.</t>
  </si>
  <si>
    <t>Delayed requirements gathering and slowed progress with documenting the stakeholder's current process and needs.</t>
  </si>
  <si>
    <t>Followed up with the stakeholder and continued preparing the interview and requirements questions while waiting for responses.</t>
  </si>
  <si>
    <t>Keeping the architecture, UML diagrams, ERD, SRS and mobile/web interfaces consistent while different members developed the design artefacts in parallel.</t>
  </si>
  <si>
    <t>Changes to requirements or one design artefact could create inconsistencies elsewhere, increasing review time and risking conflicting documentation.</t>
  </si>
  <si>
    <t>Used a cross-design alignment review to compare the SRS, architecture, use cases, sequence diagrams, ERD and interfaces; corrected identified mismatches before confirming the design baseline.</t>
  </si>
  <si>
    <t>Keeping the interface designs within the approved scope, particularly where requested features needed to be represented as prototype-level functionality.</t>
  </si>
  <si>
    <t>Adding unsupported functions could increase development effort and contradict the SRS, especially for payment handling and reporting.</t>
  </si>
  <si>
    <t>Checked proposed screens and functions against the SRS. Kept payment handling to EFT payments rather than a live payment gateway, and limited reports to basic summaries.</t>
  </si>
  <si>
    <t>NL Mazibuko, M Lesenyelo, MN Dlamini, NP Khotle, L Sandi, AL Hadebe, M Mokhele</t>
  </si>
  <si>
    <t>L Sandi, AL Hadebe, PA Mabusela</t>
  </si>
  <si>
    <t>223014209, 223000608, 222021446</t>
  </si>
  <si>
    <t>Updated Software Requirement Specification.pdf</t>
  </si>
  <si>
    <t>Web Sequence Diagram link: https://viewer.diagrams.net/?tags=%7B%7D&amp;lightbox=1&amp;target=blank&amp;highlight=0000ff&amp;edit=_blank&amp;layers=1&amp;nav=1&amp;title=Sequence%20Diagram(APS.NET).drawio&amp;dark=0#Uhttps%3A%2F%2Fdrive.google.com%2Fuc%3Fid%3D1pe3ZnGeT62MtFIwFBITfMiQIEaAiwgCh%26export%3Ddownload</t>
  </si>
  <si>
    <t>System Architecture Diagram link: https://viewer.diagrams.net/?tags=%7B%7D&amp;lightbox=1&amp;target=blank&amp;highlight=0000ff&amp;edit=_blank&amp;layers=1&amp;nav=1&amp;title=System%20Architecture%20Design%20Diagram.drawio&amp;dark=0#Uhttps%3A%2F%2Fdrive.google.com%2Fuc%3Fid%3D1-ipbBVGz__jRF2WieEe3WSC3O_ybTdsq%26export%3Ddownload</t>
  </si>
  <si>
    <t>ERD link: https://viewer.diagrams.net/?tags=%7B%7D&amp;lightbox=1&amp;highlight=0000ff&amp;edit=_blank&amp;layers=1&amp;nav=1&amp;title=Entity%20Relationship%20Diagram.drawio&amp;dark=0#Uhttps%3A%2F%2Fdrive.google.com%2Fuc%3Fid%3D1hPSEFW3vkxjzCYKUqcsKeAocBAP2HUcu%26export%3Ddownload</t>
  </si>
  <si>
    <t>Flutter UI Wireframes link: Flutter link::::https://www.figma.com/design/wn4Il8WEIqOOEAMzvopEw1/Big-Brother-Student-accommodation-App?node-id=0-1&amp;t=tmuNmyvcqZPeOTw6-1</t>
  </si>
  <si>
    <t>WIL Project(2).mpp</t>
  </si>
  <si>
    <t>ASP.NET UI Wireframes link: WEB:
https://www.figma.com/design/nsfe2RnSzAZCK1aHrkBLQn/Big-Brother-Student-Accom.?node-id=2479-2&amp;t=slbiNpnmbykZmVba-1</t>
  </si>
  <si>
    <t>Flutter link::::https://www.figma.com/design/wn4Il8WEIqOOEAMzvopEw1/Big-Brother-Student-accommodation-App?node-id=0-1&amp;t=tmuNmyvcqZPeOTw6-1</t>
  </si>
  <si>
    <t>WEB:
https://www.figma.com/design/nsfe2RnSzAZCK1aHrkBLQn/Big-Brother-Student-Accom.?node-id=2479-2&amp;t=slbiNpnmbykZmVba-1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</si>
</sst>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yyyy\-mm\-dd"/>
    <numFmt numFmtId="166" formatCode="0&quot;%&quot;"/>
    <numFmt numFmtId="167" formatCode="0.0"/>
  </numFmts>
  <fonts count="6">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8"/>
  </cellStyleXfs>
  <cellXfs count="35">
    <xf numFmtId="0" fontId="0" fillId="0" borderId="0" xfId="0"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Alignment="1">
      <alignment vertical="top" wrapText="1"/>
    </xf>
    <xf numFmtId="165" fontId="0" fillId="0" borderId="8" xfId="0" applyNumberFormat="1" applyAlignment="1">
      <alignment vertical="top" wrapText="1"/>
    </xf>
    <xf numFmtId="166" fontId="0" fillId="0" borderId="8" xfId="0" applyNumberFormat="1" applyAlignment="1">
      <alignment vertical="top" wrapText="1"/>
    </xf>
    <xf numFmtId="0" fontId="0" fillId="0" borderId="6" xfId="0" applyBorder="1" applyAlignment="1">
      <alignment vertical="top" wrapText="1"/>
    </xf>
    <xf numFmtId="167" fontId="0" fillId="0" borderId="0" xfId="0" applyNumberFormat="1" applyBorder="1" applyAlignment="1">
      <alignment vertical="top" wrapText="1"/>
    </xf>
    <xf numFmtId="167" fontId="0" fillId="0" borderId="8"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15" fontId="0" fillId="0" borderId="0" xfId="0" applyNumberFormat="1" applyBorder="1"/>
    <xf numFmtId="0" fontId="1" fillId="2" borderId="8" xfId="0" applyFont="1" applyFill="1" applyAlignment="1">
      <alignment horizontal="left" vertical="center"/>
    </xf>
    <xf numFmtId="0" fontId="0" fillId="0" borderId="0" xfId="0" applyBorder="1"/>
    <xf numFmtId="0" fontId="3" fillId="5" borderId="8" xfId="0" applyFont="1" applyFill="1" applyAlignment="1">
      <alignment horizontal="left" vertical="center"/>
    </xf>
    <xf numFmtId="0" fontId="2" fillId="3" borderId="8" xfId="0" applyFont="1" applyFill="1" applyAlignment="1">
      <alignment vertical="top" wrapText="1"/>
    </xf>
    <xf numFmtId="0" fontId="3" fillId="2" borderId="8" xfId="0" applyFont="1" applyFill="1" applyAlignment="1">
      <alignment horizontal="center" vertical="center" wrapText="1"/>
    </xf>
  </cellXfs>
  <cellStyles count="1">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spPr>
            <a:ln>
              <a:prstDash val="solid"/>
            </a:ln>
          </c:spPr>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25</c:v>
                </c:pt>
                <c:pt idx="1">
                  <c:v>0</c:v>
                </c:pt>
                <c:pt idx="2">
                  <c:v>0</c:v>
                </c:pt>
                <c:pt idx="3">
                  <c:v>0</c:v>
                </c:pt>
                <c:pt idx="4">
                  <c:v>0</c:v>
                </c:pt>
                <c:pt idx="5">
                  <c:v>0</c:v>
                </c:pt>
              </c:numCache>
            </c:numRef>
          </c:val>
          <c:extLst>
            <c:ext xmlns:c16="http://schemas.microsoft.com/office/drawing/2014/chart" uri="{C3380CC4-5D6E-409C-BE32-E72D297353CC}">
              <c16:uniqueId val="{00000000-9A9A-45FB-BCE2-067E294B743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0">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0">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B4" workbookViewId="0">
      <selection activeCell="A10" sqref="A10"/>
    </sheetView>
  </sheetViews>
  <sheetFormatPr defaultRowHeight="13.8"/>
  <cols>
    <col min="1" max="1" width="24" customWidth="1"/>
    <col min="2" max="2" width="48" customWidth="1"/>
    <col min="3" max="3" width="3" customWidth="1"/>
    <col min="4" max="4" width="10" customWidth="1"/>
    <col min="5" max="5" width="54" customWidth="1"/>
    <col min="6" max="8" width="12" customWidth="1"/>
  </cols>
  <sheetData>
    <row r="1" spans="1:8" ht="19.95" customHeight="1">
      <c r="A1" s="30" t="s">
        <v>24</v>
      </c>
      <c r="B1" s="31"/>
      <c r="C1" s="31"/>
      <c r="D1" s="31"/>
      <c r="E1" s="31"/>
      <c r="F1" s="31"/>
      <c r="G1" s="31"/>
      <c r="H1" s="31"/>
    </row>
    <row r="3" spans="1:8" ht="28.05" customHeight="1">
      <c r="A3" s="33" t="s">
        <v>25</v>
      </c>
      <c r="B3" s="31"/>
      <c r="C3" s="31"/>
      <c r="D3" s="31"/>
      <c r="E3" s="31"/>
      <c r="F3" s="31"/>
      <c r="G3" s="31"/>
      <c r="H3" s="31"/>
    </row>
    <row r="5" spans="1:8">
      <c r="A5" s="1" t="s">
        <v>26</v>
      </c>
      <c r="B5" s="2" t="s">
        <v>4</v>
      </c>
      <c r="D5" s="32" t="s">
        <v>27</v>
      </c>
      <c r="E5" s="31"/>
      <c r="F5" s="31"/>
      <c r="G5" s="31"/>
      <c r="H5" s="31"/>
    </row>
    <row r="6" spans="1:8" ht="45.45" customHeight="1">
      <c r="A6" s="3" t="s">
        <v>28</v>
      </c>
      <c r="B6" s="4" t="s">
        <v>29</v>
      </c>
      <c r="D6" s="3" t="s">
        <v>30</v>
      </c>
      <c r="E6" s="4" t="s">
        <v>31</v>
      </c>
    </row>
    <row r="7" spans="1:8" ht="41.55" customHeight="1">
      <c r="A7" s="3" t="s">
        <v>32</v>
      </c>
      <c r="B7" s="4" t="s">
        <v>33</v>
      </c>
      <c r="D7" s="3" t="s">
        <v>34</v>
      </c>
      <c r="E7" s="4" t="s">
        <v>35</v>
      </c>
    </row>
    <row r="8" spans="1:8" ht="35.549999999999997" customHeight="1">
      <c r="A8" s="3" t="s">
        <v>36</v>
      </c>
      <c r="B8" s="4" t="s">
        <v>37</v>
      </c>
      <c r="D8" s="3" t="s">
        <v>38</v>
      </c>
      <c r="E8" s="4" t="s">
        <v>39</v>
      </c>
    </row>
    <row r="9" spans="1:8" ht="34.950000000000003" customHeight="1">
      <c r="A9" s="3" t="s">
        <v>40</v>
      </c>
      <c r="B9" s="4" t="s">
        <v>41</v>
      </c>
      <c r="D9" s="3" t="s">
        <v>42</v>
      </c>
      <c r="E9" s="4" t="s">
        <v>43</v>
      </c>
    </row>
    <row r="10" spans="1:8" ht="44.55" customHeight="1">
      <c r="A10" s="3" t="s">
        <v>44</v>
      </c>
      <c r="B10" s="4" t="s">
        <v>45</v>
      </c>
      <c r="D10" s="3" t="s">
        <v>46</v>
      </c>
      <c r="E10" s="4" t="s">
        <v>47</v>
      </c>
    </row>
    <row r="11" spans="1:8" ht="38.549999999999997" customHeight="1">
      <c r="A11" s="3" t="s">
        <v>48</v>
      </c>
      <c r="B11" s="4" t="s">
        <v>49</v>
      </c>
      <c r="D11" s="5" t="s">
        <v>50</v>
      </c>
      <c r="E11" s="6" t="s">
        <v>51</v>
      </c>
    </row>
    <row r="12" spans="1:8" ht="27.6" customHeight="1">
      <c r="A12" s="5" t="s">
        <v>52</v>
      </c>
      <c r="B12" s="6" t="s">
        <v>53</v>
      </c>
    </row>
    <row r="13" spans="1:8">
      <c r="D13" s="32" t="s">
        <v>54</v>
      </c>
      <c r="E13" s="31"/>
      <c r="F13" s="31"/>
      <c r="G13" s="31"/>
      <c r="H13" s="31"/>
    </row>
    <row r="14" spans="1:8" ht="27.6" customHeight="1">
      <c r="D14" s="3" t="s">
        <v>10</v>
      </c>
      <c r="E14" s="4" t="s">
        <v>55</v>
      </c>
    </row>
    <row r="15" spans="1:8">
      <c r="D15" s="3" t="s">
        <v>18</v>
      </c>
      <c r="E15" s="4" t="s">
        <v>56</v>
      </c>
    </row>
    <row r="16" spans="1:8">
      <c r="D16" s="3" t="s">
        <v>57</v>
      </c>
      <c r="E16" s="4" t="s">
        <v>58</v>
      </c>
    </row>
    <row r="17" spans="4:5">
      <c r="D17" s="5" t="s">
        <v>59</v>
      </c>
      <c r="E17" s="6" t="s">
        <v>60</v>
      </c>
    </row>
  </sheetData>
  <mergeCells count="4">
    <mergeCell ref="A1:H1"/>
    <mergeCell ref="D5:H5"/>
    <mergeCell ref="A3:H3"/>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topLeftCell="B1" workbookViewId="0">
      <selection activeCell="B11" sqref="B11"/>
    </sheetView>
  </sheetViews>
  <sheetFormatPr defaultRowHeight="13.8"/>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19.95" customHeight="1">
      <c r="A1" s="30" t="s">
        <v>61</v>
      </c>
      <c r="B1" s="31"/>
      <c r="C1" s="31"/>
      <c r="D1" s="31"/>
      <c r="E1" s="31"/>
      <c r="F1" s="31"/>
      <c r="G1" s="31"/>
      <c r="H1" s="31"/>
      <c r="I1" s="31"/>
      <c r="J1" s="31"/>
      <c r="K1" s="31"/>
      <c r="L1" s="31"/>
    </row>
    <row r="3" spans="1:12">
      <c r="A3" s="1" t="s">
        <v>62</v>
      </c>
      <c r="B3" s="2" t="s">
        <v>63</v>
      </c>
      <c r="F3" s="1" t="s">
        <v>64</v>
      </c>
      <c r="G3" s="2" t="s">
        <v>65</v>
      </c>
    </row>
    <row r="4" spans="1:12" ht="18.600000000000001" customHeight="1">
      <c r="A4" s="3" t="s">
        <v>66</v>
      </c>
      <c r="B4" s="7" t="s">
        <v>67</v>
      </c>
      <c r="F4" s="3" t="s">
        <v>68</v>
      </c>
      <c r="G4" s="10">
        <f>COUNTIF('Task Progress'!H2:H101,"Completed")</f>
        <v>25</v>
      </c>
    </row>
    <row r="5" spans="1:12" ht="18.600000000000001" customHeight="1">
      <c r="A5" s="3" t="s">
        <v>69</v>
      </c>
      <c r="B5" s="7" t="s">
        <v>70</v>
      </c>
      <c r="F5" s="3" t="s">
        <v>71</v>
      </c>
      <c r="G5" s="10">
        <f>COUNTIF('Task Progress'!H2:H101,"In Progress")</f>
        <v>0</v>
      </c>
    </row>
    <row r="6" spans="1:12" ht="18.600000000000001" customHeight="1">
      <c r="A6" s="3" t="s">
        <v>72</v>
      </c>
      <c r="B6" t="s">
        <v>73</v>
      </c>
      <c r="F6" s="3" t="s">
        <v>74</v>
      </c>
      <c r="G6" s="10">
        <f>COUNTIF('Task Progress'!H2:H101,"Not Started")</f>
        <v>0</v>
      </c>
    </row>
    <row r="7" spans="1:12" ht="18.600000000000001" customHeight="1">
      <c r="A7" s="3" t="s">
        <v>75</v>
      </c>
      <c r="B7" s="7" t="s">
        <v>76</v>
      </c>
      <c r="F7" s="3" t="s">
        <v>77</v>
      </c>
      <c r="G7" s="10">
        <f>COUNTIF('Task Progress'!H2:H101,"Delayed")</f>
        <v>0</v>
      </c>
    </row>
    <row r="8" spans="1:12" ht="18.600000000000001" customHeight="1">
      <c r="A8" s="3" t="s">
        <v>78</v>
      </c>
      <c r="B8" s="7" t="s">
        <v>18</v>
      </c>
      <c r="F8" s="3" t="s">
        <v>79</v>
      </c>
      <c r="G8" s="10">
        <f>COUNTIF('Task Progress'!H2:H101,"Blocked")</f>
        <v>0</v>
      </c>
    </row>
    <row r="9" spans="1:12" ht="18.600000000000001" customHeight="1">
      <c r="A9" s="3" t="s">
        <v>80</v>
      </c>
      <c r="B9" s="7" t="s">
        <v>81</v>
      </c>
      <c r="F9" s="5" t="s">
        <v>82</v>
      </c>
      <c r="G9" s="11">
        <f ca="1">COUNTIF('Task Progress'!M2:M101,"Overdue")</f>
        <v>0</v>
      </c>
    </row>
    <row r="10" spans="1:12" ht="18.600000000000001" customHeight="1">
      <c r="A10" s="3" t="s">
        <v>83</v>
      </c>
      <c r="B10" s="7" t="s">
        <v>68</v>
      </c>
    </row>
    <row r="11" spans="1:12" ht="18.600000000000001" customHeight="1">
      <c r="A11" s="3" t="s">
        <v>84</v>
      </c>
      <c r="B11" s="8">
        <f>IFERROR(SUM('Task Progress'!I2:I101)/COUNTIF('Task Progress'!D2:D101,"&lt;&gt;")/100,0)</f>
        <v>0.96153846153846156</v>
      </c>
      <c r="F11" s="1" t="s">
        <v>85</v>
      </c>
      <c r="G11" s="2" t="s">
        <v>65</v>
      </c>
    </row>
    <row r="12" spans="1:12" ht="31.95" customHeight="1">
      <c r="A12" s="3" t="s">
        <v>86</v>
      </c>
      <c r="B12" s="7" t="s">
        <v>87</v>
      </c>
      <c r="F12" s="3" t="s">
        <v>88</v>
      </c>
      <c r="G12" s="10">
        <f>COUNTIF('Individual Contributions'!E3:E200,"?*")</f>
        <v>20</v>
      </c>
    </row>
    <row r="13" spans="1:12" ht="31.95" customHeight="1">
      <c r="A13" s="3" t="s">
        <v>89</v>
      </c>
      <c r="B13" s="7" t="s">
        <v>90</v>
      </c>
      <c r="F13" s="3" t="s">
        <v>91</v>
      </c>
      <c r="G13" s="10">
        <f>COUNTIFS('Individual Contributions'!E3:E200,"?*",'Individual Contributions'!J3:J200,"Yes")</f>
        <v>20</v>
      </c>
    </row>
    <row r="14" spans="1:12" ht="31.95" customHeight="1">
      <c r="A14" s="5" t="s">
        <v>92</v>
      </c>
      <c r="B14" s="9" t="s">
        <v>93</v>
      </c>
      <c r="F14" s="3" t="s">
        <v>94</v>
      </c>
      <c r="G14" s="10">
        <f>COUNTIFS('Individual Contributions'!E3:E200,"?*",'Individual Contributions'!J3:J200,"No")</f>
        <v>0</v>
      </c>
    </row>
    <row r="15" spans="1:12">
      <c r="F15" s="5" t="s">
        <v>95</v>
      </c>
      <c r="G15" s="11">
        <f>COUNT('Stakeholder Engagement'!A3:A101)</f>
        <v>2</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tabSelected="1" topLeftCell="C10" workbookViewId="0">
      <selection activeCell="J17" sqref="J17"/>
    </sheetView>
  </sheetViews>
  <sheetFormatPr defaultRowHeight="13.8"/>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19.95" customHeight="1">
      <c r="A1" s="30" t="s">
        <v>96</v>
      </c>
      <c r="B1" s="31"/>
      <c r="C1" s="31"/>
      <c r="D1" s="31"/>
      <c r="E1" s="31"/>
      <c r="F1" s="31"/>
      <c r="G1" s="31"/>
      <c r="H1" s="31"/>
      <c r="I1" s="31"/>
      <c r="J1" s="31"/>
      <c r="K1" s="31"/>
      <c r="L1" s="31"/>
      <c r="M1" s="31"/>
    </row>
    <row r="2" spans="1:13" ht="27.6" customHeight="1">
      <c r="A2" s="1" t="s">
        <v>97</v>
      </c>
      <c r="B2" s="15" t="s">
        <v>2</v>
      </c>
      <c r="C2" s="15" t="s">
        <v>98</v>
      </c>
      <c r="D2" s="15" t="s">
        <v>99</v>
      </c>
      <c r="E2" s="15" t="s">
        <v>100</v>
      </c>
      <c r="F2" s="15" t="s">
        <v>101</v>
      </c>
      <c r="G2" s="15" t="s">
        <v>102</v>
      </c>
      <c r="H2" s="15" t="s">
        <v>103</v>
      </c>
      <c r="I2" s="15" t="s">
        <v>104</v>
      </c>
      <c r="J2" s="15" t="s">
        <v>9</v>
      </c>
      <c r="K2" s="15" t="s">
        <v>105</v>
      </c>
      <c r="L2" s="15" t="s">
        <v>106</v>
      </c>
      <c r="M2" s="2" t="s">
        <v>107</v>
      </c>
    </row>
    <row r="3" spans="1:13">
      <c r="A3" s="16" t="s">
        <v>108</v>
      </c>
      <c r="B3" s="12" t="s">
        <v>10</v>
      </c>
      <c r="C3" s="12" t="s">
        <v>109</v>
      </c>
      <c r="D3" s="12" t="s">
        <v>110</v>
      </c>
      <c r="E3" s="12" t="s">
        <v>21</v>
      </c>
      <c r="F3" s="13">
        <v>46253</v>
      </c>
      <c r="G3" s="13">
        <v>46265</v>
      </c>
      <c r="H3" s="12" t="s">
        <v>68</v>
      </c>
      <c r="I3" s="14">
        <v>100</v>
      </c>
      <c r="J3" s="12" t="s">
        <v>111</v>
      </c>
      <c r="K3" s="12" t="s">
        <v>112</v>
      </c>
      <c r="L3" s="12"/>
      <c r="M3" s="17" t="str">
        <f t="shared" ref="M3:M34" ca="1" si="0">IF(D3="","",IF(H3="Completed","Completed",IF(H3="Blocked","Blocked",IF(H3="Delayed","Delayed",IF(AND(G3&lt;&gt;"",G3&lt;TODAY(),H3&lt;&gt;"Completed"),"Overdue","On Track")))))</f>
        <v>Completed</v>
      </c>
    </row>
    <row r="4" spans="1:13" ht="27.6" customHeight="1">
      <c r="A4" s="16" t="s">
        <v>113</v>
      </c>
      <c r="B4" s="12" t="s">
        <v>10</v>
      </c>
      <c r="C4" s="12" t="s">
        <v>109</v>
      </c>
      <c r="D4" s="12" t="s">
        <v>114</v>
      </c>
      <c r="E4" s="12" t="s">
        <v>115</v>
      </c>
      <c r="F4" s="13">
        <v>46260</v>
      </c>
      <c r="G4" s="13">
        <v>46265</v>
      </c>
      <c r="H4" s="12" t="s">
        <v>68</v>
      </c>
      <c r="I4" s="14">
        <v>100</v>
      </c>
      <c r="J4" s="12" t="s">
        <v>116</v>
      </c>
      <c r="K4" s="12" t="s">
        <v>112</v>
      </c>
      <c r="L4" s="12"/>
      <c r="M4" s="17" t="str">
        <f t="shared" ca="1" si="0"/>
        <v>Completed</v>
      </c>
    </row>
    <row r="5" spans="1:13" ht="27.6" customHeight="1">
      <c r="A5" s="16" t="s">
        <v>117</v>
      </c>
      <c r="B5" s="12" t="s">
        <v>10</v>
      </c>
      <c r="C5" s="12" t="s">
        <v>109</v>
      </c>
      <c r="D5" s="12" t="s">
        <v>118</v>
      </c>
      <c r="E5" s="12" t="s">
        <v>119</v>
      </c>
      <c r="F5" s="13">
        <v>46258</v>
      </c>
      <c r="G5" s="13">
        <v>46265</v>
      </c>
      <c r="H5" s="12" t="s">
        <v>68</v>
      </c>
      <c r="I5" s="14">
        <v>100</v>
      </c>
      <c r="J5" s="12" t="s">
        <v>120</v>
      </c>
      <c r="K5" s="12" t="s">
        <v>112</v>
      </c>
      <c r="L5" s="12"/>
      <c r="M5" s="17" t="str">
        <f t="shared" ca="1" si="0"/>
        <v>Completed</v>
      </c>
    </row>
    <row r="6" spans="1:13">
      <c r="A6" s="16" t="s">
        <v>121</v>
      </c>
      <c r="B6" s="12" t="s">
        <v>10</v>
      </c>
      <c r="C6" s="12" t="s">
        <v>122</v>
      </c>
      <c r="D6" s="12" t="s">
        <v>123</v>
      </c>
      <c r="E6" s="12" t="s">
        <v>124</v>
      </c>
      <c r="F6" s="13">
        <v>46258</v>
      </c>
      <c r="G6" s="29">
        <v>46265</v>
      </c>
      <c r="H6" s="12" t="s">
        <v>68</v>
      </c>
      <c r="I6" s="14">
        <v>100</v>
      </c>
      <c r="J6" s="12" t="s">
        <v>111</v>
      </c>
      <c r="K6" s="12" t="s">
        <v>112</v>
      </c>
      <c r="L6" s="12"/>
      <c r="M6" s="17" t="str">
        <f t="shared" ca="1" si="0"/>
        <v>Completed</v>
      </c>
    </row>
    <row r="7" spans="1:13" ht="27.6" customHeight="1">
      <c r="A7" s="16" t="s">
        <v>125</v>
      </c>
      <c r="B7" s="12" t="s">
        <v>10</v>
      </c>
      <c r="C7" s="12" t="s">
        <v>122</v>
      </c>
      <c r="D7" s="12" t="s">
        <v>126</v>
      </c>
      <c r="E7" s="12" t="s">
        <v>127</v>
      </c>
      <c r="F7" s="13">
        <v>46259</v>
      </c>
      <c r="G7" s="29">
        <v>46265</v>
      </c>
      <c r="H7" s="12" t="s">
        <v>68</v>
      </c>
      <c r="I7" s="14">
        <v>100</v>
      </c>
      <c r="J7" s="12" t="s">
        <v>111</v>
      </c>
      <c r="K7" s="12" t="s">
        <v>112</v>
      </c>
      <c r="L7" s="12"/>
      <c r="M7" s="17" t="str">
        <f t="shared" ca="1" si="0"/>
        <v>Completed</v>
      </c>
    </row>
    <row r="8" spans="1:13" ht="27.6" customHeight="1">
      <c r="A8" s="16" t="s">
        <v>128</v>
      </c>
      <c r="B8" s="12" t="s">
        <v>10</v>
      </c>
      <c r="C8" s="12" t="s">
        <v>129</v>
      </c>
      <c r="D8" s="12" t="s">
        <v>130</v>
      </c>
      <c r="E8" s="12" t="s">
        <v>131</v>
      </c>
      <c r="F8" s="13">
        <v>46259</v>
      </c>
      <c r="G8" s="13">
        <v>46265</v>
      </c>
      <c r="H8" s="12" t="s">
        <v>68</v>
      </c>
      <c r="I8" s="14">
        <v>100</v>
      </c>
      <c r="J8" s="12" t="s">
        <v>132</v>
      </c>
      <c r="K8" s="12" t="s">
        <v>112</v>
      </c>
      <c r="L8" s="12"/>
      <c r="M8" s="17" t="str">
        <f t="shared" ca="1" si="0"/>
        <v>Completed</v>
      </c>
    </row>
    <row r="9" spans="1:13">
      <c r="A9" s="16" t="s">
        <v>133</v>
      </c>
      <c r="B9" s="12" t="s">
        <v>10</v>
      </c>
      <c r="C9" s="12" t="s">
        <v>129</v>
      </c>
      <c r="D9" s="12" t="s">
        <v>134</v>
      </c>
      <c r="E9" s="12" t="s">
        <v>135</v>
      </c>
      <c r="F9" s="13">
        <v>46253</v>
      </c>
      <c r="G9" s="13">
        <v>46265</v>
      </c>
      <c r="H9" s="12" t="s">
        <v>68</v>
      </c>
      <c r="I9" s="14">
        <v>100</v>
      </c>
      <c r="J9" s="12" t="s">
        <v>136</v>
      </c>
      <c r="K9" s="12" t="s">
        <v>112</v>
      </c>
      <c r="L9" s="12"/>
      <c r="M9" s="17" t="str">
        <f t="shared" ca="1" si="0"/>
        <v>Completed</v>
      </c>
    </row>
    <row r="10" spans="1:13" ht="41.4" customHeight="1">
      <c r="A10" s="16" t="s">
        <v>137</v>
      </c>
      <c r="B10" s="12" t="s">
        <v>10</v>
      </c>
      <c r="C10" s="12" t="s">
        <v>129</v>
      </c>
      <c r="D10" s="12" t="s">
        <v>138</v>
      </c>
      <c r="E10" s="12" t="s">
        <v>21</v>
      </c>
      <c r="F10" s="13">
        <v>46260</v>
      </c>
      <c r="G10" s="13">
        <v>46265</v>
      </c>
      <c r="H10" s="12" t="s">
        <v>68</v>
      </c>
      <c r="I10" s="14">
        <v>100</v>
      </c>
      <c r="J10" s="12" t="s">
        <v>139</v>
      </c>
      <c r="K10" s="12" t="s">
        <v>112</v>
      </c>
      <c r="L10" s="12"/>
      <c r="M10" s="17" t="str">
        <f t="shared" ca="1" si="0"/>
        <v>Completed</v>
      </c>
    </row>
    <row r="11" spans="1:13" ht="41.4" customHeight="1">
      <c r="A11" s="16" t="s">
        <v>140</v>
      </c>
      <c r="B11" s="12" t="s">
        <v>10</v>
      </c>
      <c r="C11" s="12" t="s">
        <v>129</v>
      </c>
      <c r="D11" s="12" t="s">
        <v>141</v>
      </c>
      <c r="E11" s="12" t="s">
        <v>142</v>
      </c>
      <c r="F11" s="13">
        <v>46260</v>
      </c>
      <c r="G11" s="13">
        <v>46265</v>
      </c>
      <c r="H11" s="12" t="s">
        <v>68</v>
      </c>
      <c r="I11" s="14">
        <v>100</v>
      </c>
      <c r="J11" s="12" t="s">
        <v>143</v>
      </c>
      <c r="K11" s="12" t="s">
        <v>112</v>
      </c>
      <c r="L11" s="12"/>
      <c r="M11" s="17" t="str">
        <f t="shared" ca="1" si="0"/>
        <v>Completed</v>
      </c>
    </row>
    <row r="12" spans="1:13" ht="27.6" customHeight="1">
      <c r="A12" s="16" t="s">
        <v>144</v>
      </c>
      <c r="B12" s="12" t="s">
        <v>10</v>
      </c>
      <c r="C12" s="12" t="s">
        <v>129</v>
      </c>
      <c r="D12" s="12" t="s">
        <v>145</v>
      </c>
      <c r="E12" s="12" t="s">
        <v>146</v>
      </c>
      <c r="F12" s="13">
        <v>46258</v>
      </c>
      <c r="G12" s="13">
        <v>46265</v>
      </c>
      <c r="H12" s="12" t="s">
        <v>68</v>
      </c>
      <c r="I12" s="14">
        <v>100</v>
      </c>
      <c r="J12" s="12" t="s">
        <v>147</v>
      </c>
      <c r="K12" s="12" t="s">
        <v>112</v>
      </c>
      <c r="L12" s="12"/>
      <c r="M12" s="17" t="str">
        <f t="shared" ca="1" si="0"/>
        <v>Completed</v>
      </c>
    </row>
    <row r="13" spans="1:13">
      <c r="A13" s="16" t="s">
        <v>148</v>
      </c>
      <c r="B13" s="12" t="s">
        <v>10</v>
      </c>
      <c r="C13" s="12" t="s">
        <v>129</v>
      </c>
      <c r="D13" s="12" t="s">
        <v>149</v>
      </c>
      <c r="E13" s="12" t="s">
        <v>150</v>
      </c>
      <c r="F13" s="13">
        <v>46259</v>
      </c>
      <c r="G13" s="13">
        <v>46265</v>
      </c>
      <c r="H13" s="12" t="s">
        <v>68</v>
      </c>
      <c r="I13" s="14">
        <v>100</v>
      </c>
      <c r="J13" s="12" t="s">
        <v>147</v>
      </c>
      <c r="K13" s="12" t="s">
        <v>112</v>
      </c>
      <c r="L13" s="12"/>
      <c r="M13" s="17" t="str">
        <f t="shared" ca="1" si="0"/>
        <v>Completed</v>
      </c>
    </row>
    <row r="14" spans="1:13" ht="27.6" customHeight="1">
      <c r="A14" s="16" t="s">
        <v>151</v>
      </c>
      <c r="B14" s="12" t="s">
        <v>18</v>
      </c>
      <c r="C14" s="12" t="s">
        <v>152</v>
      </c>
      <c r="D14" s="12" t="s">
        <v>153</v>
      </c>
      <c r="E14" s="12" t="s">
        <v>115</v>
      </c>
      <c r="F14" s="13">
        <v>46275</v>
      </c>
      <c r="G14" s="13">
        <v>46278</v>
      </c>
      <c r="H14" s="12" t="s">
        <v>68</v>
      </c>
      <c r="I14" s="14">
        <v>100</v>
      </c>
      <c r="J14" s="12" t="s">
        <v>370</v>
      </c>
      <c r="K14" s="12" t="s">
        <v>112</v>
      </c>
      <c r="L14" s="12"/>
      <c r="M14" s="17" t="str">
        <f t="shared" ca="1" si="0"/>
        <v>Completed</v>
      </c>
    </row>
    <row r="15" spans="1:13" ht="27.6" customHeight="1">
      <c r="A15" s="16" t="s">
        <v>154</v>
      </c>
      <c r="B15" s="12" t="s">
        <v>18</v>
      </c>
      <c r="C15" s="12" t="s">
        <v>155</v>
      </c>
      <c r="D15" s="12" t="s">
        <v>156</v>
      </c>
      <c r="E15" s="12" t="s">
        <v>157</v>
      </c>
      <c r="F15" s="13">
        <v>46276</v>
      </c>
      <c r="G15" s="13">
        <v>46283</v>
      </c>
      <c r="H15" s="12" t="s">
        <v>68</v>
      </c>
      <c r="I15" s="14">
        <v>100</v>
      </c>
      <c r="J15" s="12" t="s">
        <v>372</v>
      </c>
      <c r="K15" s="12" t="s">
        <v>112</v>
      </c>
      <c r="L15" s="12"/>
      <c r="M15" s="17" t="str">
        <f t="shared" ca="1" si="0"/>
        <v>Completed</v>
      </c>
    </row>
    <row r="16" spans="1:13" ht="27.6" customHeight="1">
      <c r="A16" s="16" t="s">
        <v>158</v>
      </c>
      <c r="B16" s="12" t="s">
        <v>18</v>
      </c>
      <c r="C16" s="12" t="s">
        <v>155</v>
      </c>
      <c r="D16" s="12" t="s">
        <v>159</v>
      </c>
      <c r="E16" s="12" t="s">
        <v>160</v>
      </c>
      <c r="F16" s="13">
        <v>46276</v>
      </c>
      <c r="G16" s="13">
        <v>46282</v>
      </c>
      <c r="H16" s="12" t="s">
        <v>68</v>
      </c>
      <c r="I16" s="14">
        <v>100</v>
      </c>
      <c r="J16" s="12" t="s">
        <v>370</v>
      </c>
      <c r="K16" s="12" t="s">
        <v>112</v>
      </c>
      <c r="L16" s="12"/>
      <c r="M16" s="17" t="str">
        <f t="shared" ca="1" si="0"/>
        <v>Completed</v>
      </c>
    </row>
    <row r="17" spans="1:13" ht="27.6" customHeight="1">
      <c r="A17" s="16" t="s">
        <v>161</v>
      </c>
      <c r="B17" s="12" t="s">
        <v>18</v>
      </c>
      <c r="C17" s="12" t="s">
        <v>155</v>
      </c>
      <c r="D17" s="12" t="s">
        <v>162</v>
      </c>
      <c r="E17" s="12" t="s">
        <v>163</v>
      </c>
      <c r="F17" s="13">
        <v>46280</v>
      </c>
      <c r="G17" s="13">
        <v>46286</v>
      </c>
      <c r="H17" s="12" t="s">
        <v>68</v>
      </c>
      <c r="I17" s="14">
        <v>100</v>
      </c>
      <c r="J17" s="12" t="s">
        <v>370</v>
      </c>
      <c r="K17" s="12" t="s">
        <v>112</v>
      </c>
      <c r="L17" s="12"/>
      <c r="M17" s="17" t="str">
        <f t="shared" ca="1" si="0"/>
        <v>Completed</v>
      </c>
    </row>
    <row r="18" spans="1:13" ht="27.6" customHeight="1">
      <c r="A18" s="16" t="s">
        <v>164</v>
      </c>
      <c r="B18" s="12" t="s">
        <v>18</v>
      </c>
      <c r="C18" s="12" t="s">
        <v>155</v>
      </c>
      <c r="D18" s="12" t="s">
        <v>165</v>
      </c>
      <c r="E18" s="12" t="s">
        <v>166</v>
      </c>
      <c r="F18" s="13">
        <v>46280</v>
      </c>
      <c r="G18" s="13">
        <v>46286</v>
      </c>
      <c r="H18" s="12" t="s">
        <v>68</v>
      </c>
      <c r="I18" s="14">
        <v>100</v>
      </c>
      <c r="J18" s="12" t="s">
        <v>371</v>
      </c>
      <c r="K18" s="12" t="s">
        <v>112</v>
      </c>
      <c r="L18" s="12"/>
      <c r="M18" s="17" t="str">
        <f t="shared" ca="1" si="0"/>
        <v>Completed</v>
      </c>
    </row>
    <row r="19" spans="1:13" ht="27.6" customHeight="1">
      <c r="A19" s="16" t="s">
        <v>167</v>
      </c>
      <c r="B19" s="12" t="s">
        <v>18</v>
      </c>
      <c r="C19" s="12" t="s">
        <v>155</v>
      </c>
      <c r="D19" s="12" t="s">
        <v>168</v>
      </c>
      <c r="E19" s="12" t="s">
        <v>131</v>
      </c>
      <c r="F19" s="13">
        <v>46281</v>
      </c>
      <c r="G19" s="13">
        <v>46288</v>
      </c>
      <c r="H19" s="12" t="s">
        <v>68</v>
      </c>
      <c r="I19" s="14">
        <v>100</v>
      </c>
      <c r="J19" s="12" t="s">
        <v>373</v>
      </c>
      <c r="K19" s="12" t="s">
        <v>112</v>
      </c>
      <c r="L19" s="12"/>
      <c r="M19" s="17" t="str">
        <f t="shared" ca="1" si="0"/>
        <v>Completed</v>
      </c>
    </row>
    <row r="20" spans="1:13" ht="27.6" customHeight="1">
      <c r="A20" s="16" t="s">
        <v>169</v>
      </c>
      <c r="B20" s="12" t="s">
        <v>18</v>
      </c>
      <c r="C20" s="12" t="s">
        <v>170</v>
      </c>
      <c r="D20" s="12" t="s">
        <v>171</v>
      </c>
      <c r="E20" s="12" t="s">
        <v>160</v>
      </c>
      <c r="F20" s="13">
        <v>46283</v>
      </c>
      <c r="G20" s="13">
        <v>46292</v>
      </c>
      <c r="H20" s="12" t="s">
        <v>68</v>
      </c>
      <c r="I20" s="14">
        <v>100</v>
      </c>
      <c r="J20" s="12" t="s">
        <v>374</v>
      </c>
      <c r="K20" s="12" t="s">
        <v>112</v>
      </c>
      <c r="L20" s="12"/>
      <c r="M20" s="17" t="str">
        <f t="shared" ca="1" si="0"/>
        <v>Completed</v>
      </c>
    </row>
    <row r="21" spans="1:13" ht="27.6" customHeight="1">
      <c r="A21" s="16" t="s">
        <v>172</v>
      </c>
      <c r="B21" s="12" t="s">
        <v>18</v>
      </c>
      <c r="C21" s="12" t="s">
        <v>170</v>
      </c>
      <c r="D21" s="12" t="s">
        <v>173</v>
      </c>
      <c r="E21" s="12" t="s">
        <v>21</v>
      </c>
      <c r="F21" s="13">
        <v>46283</v>
      </c>
      <c r="G21" s="13">
        <v>46293</v>
      </c>
      <c r="H21" s="12" t="s">
        <v>68</v>
      </c>
      <c r="I21" s="14">
        <v>100</v>
      </c>
      <c r="J21" s="12" t="s">
        <v>376</v>
      </c>
      <c r="K21" s="12" t="s">
        <v>112</v>
      </c>
      <c r="L21" s="12"/>
      <c r="M21" s="17" t="str">
        <f t="shared" ca="1" si="0"/>
        <v>Completed</v>
      </c>
    </row>
    <row r="22" spans="1:13" ht="27.6" customHeight="1">
      <c r="A22" s="16" t="s">
        <v>174</v>
      </c>
      <c r="B22" s="12" t="s">
        <v>18</v>
      </c>
      <c r="C22" s="12" t="s">
        <v>170</v>
      </c>
      <c r="D22" s="12" t="s">
        <v>175</v>
      </c>
      <c r="E22" s="12" t="s">
        <v>176</v>
      </c>
      <c r="F22" s="13">
        <v>46289</v>
      </c>
      <c r="G22" s="13">
        <v>46296</v>
      </c>
      <c r="H22" s="12" t="s">
        <v>68</v>
      </c>
      <c r="I22" s="14">
        <v>100</v>
      </c>
      <c r="J22" s="12" t="s">
        <v>370</v>
      </c>
      <c r="K22" s="12" t="s">
        <v>112</v>
      </c>
      <c r="L22" s="12"/>
      <c r="M22" s="17" t="str">
        <f t="shared" ca="1" si="0"/>
        <v>Completed</v>
      </c>
    </row>
    <row r="23" spans="1:13" ht="27.6" customHeight="1">
      <c r="A23" s="16" t="s">
        <v>177</v>
      </c>
      <c r="B23" s="12" t="s">
        <v>18</v>
      </c>
      <c r="C23" s="12" t="s">
        <v>170</v>
      </c>
      <c r="D23" s="12" t="s">
        <v>178</v>
      </c>
      <c r="E23" s="12" t="s">
        <v>179</v>
      </c>
      <c r="F23" s="13">
        <v>46294</v>
      </c>
      <c r="G23" s="13">
        <v>46300</v>
      </c>
      <c r="H23" s="12" t="s">
        <v>68</v>
      </c>
      <c r="I23" s="14">
        <v>100</v>
      </c>
      <c r="J23" s="12" t="s">
        <v>370</v>
      </c>
      <c r="K23" s="12" t="s">
        <v>112</v>
      </c>
      <c r="L23" s="12"/>
      <c r="M23" s="17" t="str">
        <f t="shared" ca="1" si="0"/>
        <v>Completed</v>
      </c>
    </row>
    <row r="24" spans="1:13" ht="27.6" customHeight="1">
      <c r="A24" s="16" t="s">
        <v>180</v>
      </c>
      <c r="B24" s="12" t="s">
        <v>18</v>
      </c>
      <c r="C24" s="12" t="s">
        <v>170</v>
      </c>
      <c r="D24" s="12" t="s">
        <v>181</v>
      </c>
      <c r="E24" s="12" t="s">
        <v>21</v>
      </c>
      <c r="F24" s="13">
        <v>46296</v>
      </c>
      <c r="G24" s="13">
        <v>46301</v>
      </c>
      <c r="H24" s="12" t="s">
        <v>68</v>
      </c>
      <c r="I24" s="14">
        <v>100</v>
      </c>
      <c r="J24" s="12" t="s">
        <v>370</v>
      </c>
      <c r="K24" s="12" t="s">
        <v>112</v>
      </c>
      <c r="L24" s="12"/>
      <c r="M24" s="17" t="str">
        <f t="shared" ca="1" si="0"/>
        <v>Completed</v>
      </c>
    </row>
    <row r="25" spans="1:13" ht="27.6" customHeight="1">
      <c r="A25" s="16" t="s">
        <v>182</v>
      </c>
      <c r="B25" s="12" t="s">
        <v>18</v>
      </c>
      <c r="C25" s="12" t="s">
        <v>170</v>
      </c>
      <c r="D25" s="12" t="s">
        <v>183</v>
      </c>
      <c r="E25" s="12" t="s">
        <v>184</v>
      </c>
      <c r="F25" s="13">
        <v>46301</v>
      </c>
      <c r="G25" s="13">
        <v>46305</v>
      </c>
      <c r="H25" s="12" t="s">
        <v>68</v>
      </c>
      <c r="I25" s="14">
        <v>100</v>
      </c>
      <c r="J25" s="12" t="s">
        <v>370</v>
      </c>
      <c r="K25" s="12" t="s">
        <v>112</v>
      </c>
      <c r="L25" s="12"/>
      <c r="M25" s="17" t="str">
        <f t="shared" ca="1" si="0"/>
        <v>Completed</v>
      </c>
    </row>
    <row r="26" spans="1:13" ht="27.6" customHeight="1">
      <c r="A26" s="16" t="s">
        <v>185</v>
      </c>
      <c r="B26" s="12" t="s">
        <v>18</v>
      </c>
      <c r="C26" s="12" t="s">
        <v>170</v>
      </c>
      <c r="D26" s="12" t="s">
        <v>186</v>
      </c>
      <c r="E26" s="12" t="s">
        <v>135</v>
      </c>
      <c r="F26" s="13">
        <v>46275</v>
      </c>
      <c r="G26" s="13">
        <v>46308</v>
      </c>
      <c r="H26" s="12" t="s">
        <v>68</v>
      </c>
      <c r="I26" s="14">
        <v>100</v>
      </c>
      <c r="J26" s="12" t="s">
        <v>375</v>
      </c>
      <c r="K26" s="12" t="s">
        <v>112</v>
      </c>
      <c r="L26" s="12"/>
      <c r="M26" s="17" t="str">
        <f t="shared" ca="1" si="0"/>
        <v>Completed</v>
      </c>
    </row>
    <row r="27" spans="1:13" ht="27.6" customHeight="1">
      <c r="A27" s="16" t="s">
        <v>187</v>
      </c>
      <c r="B27" s="12" t="s">
        <v>18</v>
      </c>
      <c r="C27" s="12" t="s">
        <v>170</v>
      </c>
      <c r="D27" s="12" t="s">
        <v>188</v>
      </c>
      <c r="E27" s="12" t="s">
        <v>146</v>
      </c>
      <c r="F27" s="13">
        <v>46275</v>
      </c>
      <c r="G27" s="13">
        <v>46308</v>
      </c>
      <c r="H27" s="12" t="s">
        <v>68</v>
      </c>
      <c r="I27" s="14">
        <v>100</v>
      </c>
      <c r="J27" s="12" t="s">
        <v>147</v>
      </c>
      <c r="K27" s="12" t="s">
        <v>112</v>
      </c>
      <c r="L27" s="12"/>
      <c r="M27" s="17" t="str">
        <f t="shared" ca="1" si="0"/>
        <v>Completed</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
  <sheetViews>
    <sheetView topLeftCell="D11" zoomScale="97" workbookViewId="0">
      <selection activeCell="I13" sqref="I13"/>
    </sheetView>
  </sheetViews>
  <sheetFormatPr defaultRowHeight="13.8"/>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19.95" customHeight="1">
      <c r="A1" s="30" t="s">
        <v>189</v>
      </c>
      <c r="B1" s="31"/>
      <c r="C1" s="31"/>
      <c r="D1" s="31"/>
      <c r="E1" s="31"/>
      <c r="F1" s="31"/>
      <c r="G1" s="31"/>
      <c r="H1" s="31"/>
      <c r="I1" s="31"/>
      <c r="J1" s="31"/>
      <c r="K1" s="31"/>
      <c r="L1" s="31"/>
    </row>
    <row r="2" spans="1:12" ht="27.6" customHeight="1">
      <c r="A2" s="1" t="s">
        <v>190</v>
      </c>
      <c r="B2" s="15" t="s">
        <v>191</v>
      </c>
      <c r="C2" s="15" t="s">
        <v>2</v>
      </c>
      <c r="D2" s="15" t="s">
        <v>98</v>
      </c>
      <c r="E2" s="15" t="s">
        <v>192</v>
      </c>
      <c r="F2" s="15" t="s">
        <v>193</v>
      </c>
      <c r="G2" s="15" t="s">
        <v>194</v>
      </c>
      <c r="H2" s="15" t="s">
        <v>195</v>
      </c>
      <c r="I2" s="15" t="s">
        <v>9</v>
      </c>
      <c r="J2" s="15" t="s">
        <v>105</v>
      </c>
      <c r="K2" s="15" t="s">
        <v>196</v>
      </c>
      <c r="L2" s="2" t="s">
        <v>197</v>
      </c>
    </row>
    <row r="3" spans="1:12" ht="82.8" customHeight="1">
      <c r="A3" s="16" t="s">
        <v>21</v>
      </c>
      <c r="B3" s="12">
        <v>222044762</v>
      </c>
      <c r="C3" s="12" t="s">
        <v>10</v>
      </c>
      <c r="D3" s="12" t="s">
        <v>198</v>
      </c>
      <c r="E3" s="12" t="s">
        <v>199</v>
      </c>
      <c r="F3" s="12" t="s">
        <v>200</v>
      </c>
      <c r="G3" s="13">
        <v>46259</v>
      </c>
      <c r="H3" s="23"/>
      <c r="I3" s="12" t="s">
        <v>201</v>
      </c>
      <c r="J3" s="12" t="s">
        <v>112</v>
      </c>
      <c r="K3" s="13">
        <v>46263</v>
      </c>
      <c r="L3" s="17" t="s">
        <v>202</v>
      </c>
    </row>
    <row r="4" spans="1:12" ht="69" customHeight="1">
      <c r="A4" s="16" t="s">
        <v>115</v>
      </c>
      <c r="B4" s="12">
        <v>222021446</v>
      </c>
      <c r="C4" s="12" t="s">
        <v>10</v>
      </c>
      <c r="D4" s="12" t="s">
        <v>109</v>
      </c>
      <c r="E4" s="12" t="s">
        <v>203</v>
      </c>
      <c r="F4" s="12" t="s">
        <v>204</v>
      </c>
      <c r="G4" s="13">
        <v>46259</v>
      </c>
      <c r="H4" s="23"/>
      <c r="I4" s="12" t="s">
        <v>116</v>
      </c>
      <c r="J4" s="12" t="s">
        <v>112</v>
      </c>
      <c r="K4" s="13">
        <v>46263</v>
      </c>
      <c r="L4" s="17" t="s">
        <v>205</v>
      </c>
    </row>
    <row r="5" spans="1:12" ht="55.2" customHeight="1">
      <c r="A5" s="16" t="s">
        <v>166</v>
      </c>
      <c r="B5" s="12">
        <v>221027626</v>
      </c>
      <c r="C5" s="12" t="s">
        <v>10</v>
      </c>
      <c r="D5" s="12" t="s">
        <v>122</v>
      </c>
      <c r="E5" s="12" t="s">
        <v>206</v>
      </c>
      <c r="F5" s="12" t="s">
        <v>207</v>
      </c>
      <c r="G5" s="13">
        <v>46261</v>
      </c>
      <c r="H5" s="23"/>
      <c r="I5" s="12" t="s">
        <v>208</v>
      </c>
      <c r="J5" s="12" t="s">
        <v>112</v>
      </c>
      <c r="K5" s="13">
        <v>46263</v>
      </c>
      <c r="L5" s="17" t="s">
        <v>209</v>
      </c>
    </row>
    <row r="6" spans="1:12" ht="41.4" customHeight="1">
      <c r="A6" s="16" t="s">
        <v>163</v>
      </c>
      <c r="B6" s="12">
        <v>218013010</v>
      </c>
      <c r="C6" s="12" t="s">
        <v>10</v>
      </c>
      <c r="D6" s="12" t="s">
        <v>122</v>
      </c>
      <c r="E6" s="12" t="s">
        <v>210</v>
      </c>
      <c r="F6" s="12" t="s">
        <v>211</v>
      </c>
      <c r="G6" s="13">
        <v>46261</v>
      </c>
      <c r="H6" s="23" t="s">
        <v>212</v>
      </c>
      <c r="I6" s="12" t="s">
        <v>120</v>
      </c>
      <c r="J6" s="12" t="s">
        <v>112</v>
      </c>
      <c r="K6" s="13">
        <v>46263</v>
      </c>
      <c r="L6" s="17" t="s">
        <v>213</v>
      </c>
    </row>
    <row r="7" spans="1:12" ht="55.2" customHeight="1">
      <c r="A7" s="16" t="s">
        <v>131</v>
      </c>
      <c r="B7" s="12">
        <v>224093660</v>
      </c>
      <c r="C7" s="12" t="s">
        <v>10</v>
      </c>
      <c r="D7" s="12" t="s">
        <v>129</v>
      </c>
      <c r="E7" s="12" t="s">
        <v>214</v>
      </c>
      <c r="F7" s="12" t="s">
        <v>215</v>
      </c>
      <c r="G7" s="13">
        <v>46262</v>
      </c>
      <c r="H7" s="23"/>
      <c r="I7" s="12" t="s">
        <v>216</v>
      </c>
      <c r="J7" s="12" t="s">
        <v>112</v>
      </c>
      <c r="K7" s="13">
        <v>46263</v>
      </c>
      <c r="L7" s="17" t="s">
        <v>217</v>
      </c>
    </row>
    <row r="8" spans="1:12" ht="55.2" customHeight="1">
      <c r="A8" s="16" t="s">
        <v>157</v>
      </c>
      <c r="B8" s="12">
        <v>224081110</v>
      </c>
      <c r="C8" s="12" t="s">
        <v>10</v>
      </c>
      <c r="D8" s="12" t="s">
        <v>129</v>
      </c>
      <c r="E8" s="12" t="s">
        <v>218</v>
      </c>
      <c r="F8" s="12" t="s">
        <v>219</v>
      </c>
      <c r="G8" s="13">
        <v>46262</v>
      </c>
      <c r="H8" s="23" t="s">
        <v>220</v>
      </c>
      <c r="I8" s="12" t="s">
        <v>221</v>
      </c>
      <c r="J8" s="12" t="s">
        <v>112</v>
      </c>
      <c r="K8" s="13">
        <v>46263</v>
      </c>
      <c r="L8" s="17" t="s">
        <v>222</v>
      </c>
    </row>
    <row r="9" spans="1:12" ht="69" customHeight="1">
      <c r="A9" s="16" t="s">
        <v>160</v>
      </c>
      <c r="B9" s="12">
        <v>223014209</v>
      </c>
      <c r="C9" s="12" t="s">
        <v>10</v>
      </c>
      <c r="D9" s="12" t="s">
        <v>129</v>
      </c>
      <c r="E9" s="12" t="s">
        <v>223</v>
      </c>
      <c r="F9" s="12" t="s">
        <v>224</v>
      </c>
      <c r="G9" s="13">
        <v>46259</v>
      </c>
      <c r="H9" s="23" t="s">
        <v>225</v>
      </c>
      <c r="I9" s="12" t="s">
        <v>226</v>
      </c>
      <c r="J9" s="12" t="s">
        <v>112</v>
      </c>
      <c r="K9" s="13">
        <v>46259</v>
      </c>
      <c r="L9" s="17" t="s">
        <v>227</v>
      </c>
    </row>
    <row r="10" spans="1:12" ht="55.2" customHeight="1">
      <c r="A10" s="16" t="s">
        <v>135</v>
      </c>
      <c r="B10" s="12">
        <v>224022386</v>
      </c>
      <c r="C10" s="12" t="s">
        <v>10</v>
      </c>
      <c r="D10" s="12" t="s">
        <v>129</v>
      </c>
      <c r="E10" s="12" t="s">
        <v>228</v>
      </c>
      <c r="F10" s="12" t="s">
        <v>229</v>
      </c>
      <c r="G10" s="13">
        <v>46261</v>
      </c>
      <c r="H10" s="23"/>
      <c r="I10" s="12" t="s">
        <v>136</v>
      </c>
      <c r="J10" s="12" t="s">
        <v>112</v>
      </c>
      <c r="K10" s="13">
        <v>46263</v>
      </c>
      <c r="L10" s="17" t="s">
        <v>230</v>
      </c>
    </row>
    <row r="11" spans="1:12" ht="41.4" customHeight="1">
      <c r="A11" s="16" t="s">
        <v>142</v>
      </c>
      <c r="B11" s="12">
        <v>223000608</v>
      </c>
      <c r="C11" s="12" t="s">
        <v>10</v>
      </c>
      <c r="D11" s="12" t="s">
        <v>129</v>
      </c>
      <c r="E11" s="12" t="s">
        <v>231</v>
      </c>
      <c r="F11" s="12" t="s">
        <v>232</v>
      </c>
      <c r="G11" s="13">
        <v>46261</v>
      </c>
      <c r="H11" s="23" t="s">
        <v>225</v>
      </c>
      <c r="I11" s="12" t="s">
        <v>143</v>
      </c>
      <c r="J11" s="12" t="s">
        <v>112</v>
      </c>
      <c r="K11" s="13">
        <v>46263</v>
      </c>
      <c r="L11" s="17" t="s">
        <v>233</v>
      </c>
    </row>
    <row r="12" spans="1:12" ht="41.4" customHeight="1">
      <c r="A12" s="16" t="s">
        <v>234</v>
      </c>
      <c r="B12" s="12">
        <v>224067603</v>
      </c>
      <c r="C12" s="12" t="s">
        <v>10</v>
      </c>
      <c r="D12" s="12" t="s">
        <v>129</v>
      </c>
      <c r="E12" s="12" t="s">
        <v>235</v>
      </c>
      <c r="F12" s="12" t="s">
        <v>236</v>
      </c>
      <c r="G12" s="13">
        <v>46263</v>
      </c>
      <c r="H12" t="s">
        <v>237</v>
      </c>
      <c r="I12" s="12" t="s">
        <v>238</v>
      </c>
      <c r="J12" s="12" t="s">
        <v>112</v>
      </c>
      <c r="K12" s="13">
        <v>46263</v>
      </c>
      <c r="L12" s="17" t="s">
        <v>239</v>
      </c>
    </row>
    <row r="13" spans="1:12" ht="41.4" customHeight="1">
      <c r="A13" s="16" t="s">
        <v>368</v>
      </c>
      <c r="B13" s="12" t="s">
        <v>369</v>
      </c>
      <c r="C13" s="12" t="s">
        <v>18</v>
      </c>
      <c r="D13" s="12" t="s">
        <v>240</v>
      </c>
      <c r="E13" s="12" t="s">
        <v>241</v>
      </c>
      <c r="F13" s="12" t="s">
        <v>242</v>
      </c>
      <c r="G13" s="13">
        <v>46279</v>
      </c>
      <c r="H13" t="s">
        <v>349</v>
      </c>
      <c r="I13" s="12" t="s">
        <v>377</v>
      </c>
      <c r="J13" s="12" t="s">
        <v>112</v>
      </c>
      <c r="K13" s="13">
        <v>46305</v>
      </c>
      <c r="L13" s="17" t="s">
        <v>243</v>
      </c>
    </row>
    <row r="14" spans="1:12" ht="41.4" customHeight="1">
      <c r="A14" s="16" t="s">
        <v>21</v>
      </c>
      <c r="B14" s="12">
        <v>222044762</v>
      </c>
      <c r="C14" s="12" t="s">
        <v>18</v>
      </c>
      <c r="D14" s="12" t="s">
        <v>170</v>
      </c>
      <c r="E14" s="12" t="s">
        <v>244</v>
      </c>
      <c r="F14" s="12" t="s">
        <v>245</v>
      </c>
      <c r="G14" s="13">
        <v>46283</v>
      </c>
      <c r="H14" t="s">
        <v>237</v>
      </c>
      <c r="I14" s="12" t="s">
        <v>378</v>
      </c>
      <c r="J14" s="12" t="s">
        <v>112</v>
      </c>
      <c r="K14" s="13">
        <v>46305</v>
      </c>
      <c r="L14" s="17" t="s">
        <v>246</v>
      </c>
    </row>
    <row r="15" spans="1:12" ht="41.4" customHeight="1">
      <c r="A15" s="16" t="s">
        <v>157</v>
      </c>
      <c r="B15" s="12">
        <v>224081110</v>
      </c>
      <c r="C15" s="12" t="s">
        <v>18</v>
      </c>
      <c r="D15" s="12" t="s">
        <v>240</v>
      </c>
      <c r="E15" s="12" t="s">
        <v>247</v>
      </c>
      <c r="F15" s="12" t="s">
        <v>248</v>
      </c>
      <c r="G15" s="13">
        <v>46280</v>
      </c>
      <c r="H15" t="s">
        <v>249</v>
      </c>
      <c r="I15" s="12" t="s">
        <v>372</v>
      </c>
      <c r="J15" s="12" t="s">
        <v>112</v>
      </c>
      <c r="K15" s="13">
        <v>46305</v>
      </c>
      <c r="L15" s="17" t="s">
        <v>250</v>
      </c>
    </row>
    <row r="16" spans="1:12" ht="41.4" customHeight="1">
      <c r="A16" s="16" t="s">
        <v>131</v>
      </c>
      <c r="B16" s="12">
        <v>224093660</v>
      </c>
      <c r="C16" s="12" t="s">
        <v>18</v>
      </c>
      <c r="D16" s="12" t="s">
        <v>240</v>
      </c>
      <c r="E16" s="12" t="s">
        <v>251</v>
      </c>
      <c r="F16" s="12" t="s">
        <v>252</v>
      </c>
      <c r="G16" s="13">
        <v>46282</v>
      </c>
      <c r="H16" t="s">
        <v>350</v>
      </c>
      <c r="I16" s="12" t="s">
        <v>373</v>
      </c>
      <c r="J16" s="12" t="s">
        <v>112</v>
      </c>
      <c r="K16" s="13">
        <v>46305</v>
      </c>
      <c r="L16" s="17" t="s">
        <v>253</v>
      </c>
    </row>
    <row r="17" spans="1:12" ht="41.4" customHeight="1">
      <c r="A17" s="16" t="s">
        <v>163</v>
      </c>
      <c r="B17" s="12">
        <v>218013010</v>
      </c>
      <c r="C17" s="12" t="s">
        <v>18</v>
      </c>
      <c r="D17" s="12" t="s">
        <v>155</v>
      </c>
      <c r="E17" s="12" t="s">
        <v>254</v>
      </c>
      <c r="F17" s="12" t="s">
        <v>255</v>
      </c>
      <c r="G17" s="13">
        <v>46290</v>
      </c>
      <c r="H17" t="s">
        <v>212</v>
      </c>
      <c r="I17" s="12" t="s">
        <v>370</v>
      </c>
      <c r="J17" s="12" t="s">
        <v>112</v>
      </c>
      <c r="K17" s="13">
        <v>46305</v>
      </c>
      <c r="L17" s="17" t="s">
        <v>256</v>
      </c>
    </row>
    <row r="18" spans="1:12" ht="41.4" customHeight="1">
      <c r="A18" s="16" t="s">
        <v>166</v>
      </c>
      <c r="B18" s="12">
        <v>221027626</v>
      </c>
      <c r="C18" s="12" t="s">
        <v>18</v>
      </c>
      <c r="D18" s="12" t="s">
        <v>155</v>
      </c>
      <c r="E18" s="12" t="s">
        <v>257</v>
      </c>
      <c r="F18" s="12" t="s">
        <v>258</v>
      </c>
      <c r="G18" s="13">
        <v>46292</v>
      </c>
      <c r="H18" t="s">
        <v>212</v>
      </c>
      <c r="I18" s="12" t="s">
        <v>371</v>
      </c>
      <c r="J18" s="12" t="s">
        <v>112</v>
      </c>
      <c r="K18" s="13">
        <v>46305</v>
      </c>
      <c r="L18" s="17" t="s">
        <v>259</v>
      </c>
    </row>
    <row r="19" spans="1:12" ht="55.2" customHeight="1">
      <c r="A19" s="16" t="s">
        <v>351</v>
      </c>
      <c r="B19" s="12" t="s">
        <v>352</v>
      </c>
      <c r="C19" s="12" t="s">
        <v>18</v>
      </c>
      <c r="D19" s="12" t="s">
        <v>260</v>
      </c>
      <c r="E19" s="12" t="s">
        <v>261</v>
      </c>
      <c r="F19" s="12" t="s">
        <v>262</v>
      </c>
      <c r="G19" s="13">
        <v>46295</v>
      </c>
      <c r="H19" t="s">
        <v>348</v>
      </c>
      <c r="I19" s="12" t="s">
        <v>370</v>
      </c>
      <c r="J19" s="12" t="s">
        <v>112</v>
      </c>
      <c r="K19" s="13">
        <v>46305</v>
      </c>
      <c r="L19" s="17" t="s">
        <v>263</v>
      </c>
    </row>
    <row r="20" spans="1:12" ht="55.2" customHeight="1">
      <c r="A20" s="16" t="s">
        <v>21</v>
      </c>
      <c r="B20" s="12">
        <v>222044762</v>
      </c>
      <c r="C20" s="12" t="s">
        <v>18</v>
      </c>
      <c r="D20" s="12" t="s">
        <v>170</v>
      </c>
      <c r="E20" s="12" t="s">
        <v>264</v>
      </c>
      <c r="F20" s="12" t="s">
        <v>265</v>
      </c>
      <c r="G20" s="13">
        <v>46297</v>
      </c>
      <c r="H20" t="s">
        <v>347</v>
      </c>
      <c r="I20" s="12" t="s">
        <v>370</v>
      </c>
      <c r="J20" s="12" t="s">
        <v>112</v>
      </c>
      <c r="K20" s="13">
        <v>46305</v>
      </c>
      <c r="L20" s="17" t="s">
        <v>266</v>
      </c>
    </row>
    <row r="21" spans="1:12" ht="55.2" customHeight="1">
      <c r="A21" s="16" t="s">
        <v>355</v>
      </c>
      <c r="B21" s="12" t="s">
        <v>356</v>
      </c>
      <c r="C21" s="12" t="s">
        <v>18</v>
      </c>
      <c r="D21" s="12" t="s">
        <v>170</v>
      </c>
      <c r="E21" s="12" t="s">
        <v>267</v>
      </c>
      <c r="F21" s="12" t="s">
        <v>353</v>
      </c>
      <c r="G21" s="13">
        <v>46301</v>
      </c>
      <c r="H21" t="s">
        <v>237</v>
      </c>
      <c r="I21" s="12" t="s">
        <v>354</v>
      </c>
      <c r="J21" s="12" t="s">
        <v>112</v>
      </c>
      <c r="K21" s="13">
        <v>46305</v>
      </c>
      <c r="L21" s="17" t="s">
        <v>268</v>
      </c>
    </row>
    <row r="22" spans="1:12" ht="41.4" customHeight="1">
      <c r="A22" s="16" t="s">
        <v>21</v>
      </c>
      <c r="B22" s="12">
        <v>222044762</v>
      </c>
      <c r="C22" s="12" t="s">
        <v>18</v>
      </c>
      <c r="D22" s="12" t="s">
        <v>170</v>
      </c>
      <c r="E22" s="12" t="s">
        <v>269</v>
      </c>
      <c r="F22" s="12" t="s">
        <v>270</v>
      </c>
      <c r="G22" s="13">
        <v>46303</v>
      </c>
      <c r="H22" t="s">
        <v>212</v>
      </c>
      <c r="I22" s="12" t="s">
        <v>271</v>
      </c>
      <c r="J22" s="12" t="s">
        <v>112</v>
      </c>
      <c r="K22" s="13">
        <v>46305</v>
      </c>
      <c r="L22" s="17" t="s">
        <v>272</v>
      </c>
    </row>
    <row r="23" spans="1:12">
      <c r="A23" s="16"/>
      <c r="B23" s="12"/>
      <c r="C23" s="12"/>
      <c r="D23" s="12"/>
      <c r="E23" s="12"/>
      <c r="F23" s="12"/>
      <c r="G23" s="13"/>
      <c r="H23" s="23"/>
      <c r="I23" s="12"/>
      <c r="J23" s="12"/>
      <c r="K23" s="13"/>
      <c r="L23" s="17"/>
    </row>
    <row r="24" spans="1:12">
      <c r="A24" s="16"/>
      <c r="B24" s="12"/>
      <c r="C24" s="12"/>
      <c r="D24" s="12"/>
      <c r="E24" s="12"/>
      <c r="F24" s="12"/>
      <c r="G24" s="13"/>
      <c r="H24" s="23"/>
      <c r="I24" s="12"/>
      <c r="J24" s="12"/>
      <c r="K24" s="13"/>
      <c r="L24" s="17"/>
    </row>
    <row r="25" spans="1:12">
      <c r="A25" s="16"/>
      <c r="B25" s="12"/>
      <c r="C25" s="12"/>
      <c r="D25" s="12"/>
      <c r="E25" s="12"/>
      <c r="F25" s="12"/>
      <c r="G25" s="13"/>
      <c r="H25" s="23"/>
      <c r="I25" s="12"/>
      <c r="J25" s="12"/>
      <c r="K25" s="13"/>
      <c r="L25" s="17"/>
    </row>
    <row r="26" spans="1:12">
      <c r="A26" s="16"/>
      <c r="B26" s="12"/>
      <c r="C26" s="12"/>
      <c r="D26" s="12"/>
      <c r="E26" s="12"/>
      <c r="F26" s="12"/>
      <c r="G26" s="13"/>
      <c r="H26" s="23"/>
      <c r="I26" s="12"/>
      <c r="J26" s="12"/>
      <c r="K26" s="13"/>
      <c r="L26" s="17"/>
    </row>
    <row r="27" spans="1:12">
      <c r="A27" s="16"/>
      <c r="B27" s="12"/>
      <c r="C27" s="12"/>
      <c r="D27" s="12"/>
      <c r="E27" s="12"/>
      <c r="F27" s="12"/>
      <c r="G27" s="13"/>
      <c r="H27" s="23"/>
      <c r="I27" s="12"/>
      <c r="J27" s="12"/>
      <c r="K27" s="13"/>
      <c r="L27" s="17"/>
    </row>
    <row r="28" spans="1:12">
      <c r="A28" s="16"/>
      <c r="B28" s="12"/>
      <c r="C28" s="12"/>
      <c r="D28" s="12"/>
      <c r="E28" s="12"/>
      <c r="F28" s="12"/>
      <c r="G28" s="13"/>
      <c r="H28" s="23"/>
      <c r="I28" s="12"/>
      <c r="J28" s="12"/>
      <c r="K28" s="13"/>
      <c r="L28" s="17"/>
    </row>
    <row r="29" spans="1:12">
      <c r="A29" s="16"/>
      <c r="B29" s="12"/>
      <c r="C29" s="12"/>
      <c r="D29" s="12"/>
      <c r="E29" s="12"/>
      <c r="F29" s="12"/>
      <c r="G29" s="13"/>
      <c r="H29" s="23"/>
      <c r="I29" s="12"/>
      <c r="J29" s="12"/>
      <c r="K29" s="13"/>
      <c r="L29" s="17"/>
    </row>
    <row r="30" spans="1:12">
      <c r="A30" s="16"/>
      <c r="B30" s="12"/>
      <c r="C30" s="12"/>
      <c r="D30" s="12"/>
      <c r="E30" s="12"/>
      <c r="F30" s="12"/>
      <c r="G30" s="13"/>
      <c r="H30" s="23"/>
      <c r="I30" s="12"/>
      <c r="J30" s="12"/>
      <c r="K30" s="13"/>
      <c r="L30" s="17"/>
    </row>
    <row r="31" spans="1:12">
      <c r="A31" s="16"/>
      <c r="B31" s="12"/>
      <c r="C31" s="12"/>
      <c r="D31" s="12"/>
      <c r="E31" s="12"/>
      <c r="F31" s="12"/>
      <c r="G31" s="13"/>
      <c r="H31" s="23"/>
      <c r="I31" s="12"/>
      <c r="J31" s="12"/>
      <c r="K31" s="13"/>
      <c r="L31" s="17"/>
    </row>
    <row r="32" spans="1:12">
      <c r="A32" s="16"/>
      <c r="B32" s="12"/>
      <c r="C32" s="12"/>
      <c r="D32" s="12"/>
      <c r="E32" s="12"/>
      <c r="F32" s="12"/>
      <c r="G32" s="13"/>
      <c r="H32" s="23"/>
      <c r="I32" s="12"/>
      <c r="J32" s="12"/>
      <c r="K32" s="13"/>
      <c r="L32" s="17"/>
    </row>
    <row r="33" spans="1:12">
      <c r="A33" s="16"/>
      <c r="B33" s="12"/>
      <c r="C33" s="12"/>
      <c r="D33" s="12"/>
      <c r="E33" s="12"/>
      <c r="F33" s="12"/>
      <c r="G33" s="13"/>
      <c r="H33" s="23"/>
      <c r="I33" s="12"/>
      <c r="J33" s="12"/>
      <c r="K33" s="13"/>
      <c r="L33" s="17"/>
    </row>
    <row r="34" spans="1:12">
      <c r="A34" s="16"/>
      <c r="B34" s="12"/>
      <c r="C34" s="12"/>
      <c r="D34" s="12"/>
      <c r="E34" s="12"/>
      <c r="F34" s="12"/>
      <c r="G34" s="13"/>
      <c r="H34" s="23"/>
      <c r="I34" s="12"/>
      <c r="J34" s="12"/>
      <c r="K34" s="13"/>
      <c r="L34" s="17"/>
    </row>
    <row r="35" spans="1:12">
      <c r="A35" s="16"/>
      <c r="B35" s="12"/>
      <c r="C35" s="12"/>
      <c r="D35" s="12"/>
      <c r="E35" s="12"/>
      <c r="F35" s="12"/>
      <c r="G35" s="13"/>
      <c r="H35" s="23"/>
      <c r="I35" s="12"/>
      <c r="J35" s="12"/>
      <c r="K35" s="13"/>
      <c r="L35" s="17"/>
    </row>
    <row r="36" spans="1:12">
      <c r="A36" s="16"/>
      <c r="B36" s="12"/>
      <c r="C36" s="12"/>
      <c r="D36" s="12"/>
      <c r="E36" s="12"/>
      <c r="F36" s="12"/>
      <c r="G36" s="13"/>
      <c r="H36" s="23"/>
      <c r="I36" s="12"/>
      <c r="J36" s="12"/>
      <c r="K36" s="13"/>
      <c r="L36" s="17"/>
    </row>
    <row r="37" spans="1:12">
      <c r="A37" s="16"/>
      <c r="B37" s="12"/>
      <c r="C37" s="12"/>
      <c r="D37" s="12"/>
      <c r="E37" s="12"/>
      <c r="F37" s="12"/>
      <c r="G37" s="13"/>
      <c r="H37" s="23"/>
      <c r="I37" s="12"/>
      <c r="J37" s="12"/>
      <c r="K37" s="13"/>
      <c r="L37" s="17"/>
    </row>
    <row r="38" spans="1:12">
      <c r="A38" s="16"/>
      <c r="B38" s="12"/>
      <c r="C38" s="12"/>
      <c r="D38" s="12"/>
      <c r="E38" s="12"/>
      <c r="F38" s="12"/>
      <c r="G38" s="13"/>
      <c r="H38" s="23"/>
      <c r="I38" s="12"/>
      <c r="J38" s="12"/>
      <c r="K38" s="13"/>
      <c r="L38" s="17"/>
    </row>
    <row r="39" spans="1:12">
      <c r="A39" s="16"/>
      <c r="B39" s="12"/>
      <c r="C39" s="12"/>
      <c r="D39" s="12"/>
      <c r="E39" s="12"/>
      <c r="F39" s="12"/>
      <c r="G39" s="13"/>
      <c r="H39" s="23"/>
      <c r="I39" s="12"/>
      <c r="J39" s="12"/>
      <c r="K39" s="13"/>
      <c r="L39" s="17"/>
    </row>
    <row r="40" spans="1:12">
      <c r="A40" s="16"/>
      <c r="B40" s="12"/>
      <c r="C40" s="12"/>
      <c r="D40" s="12"/>
      <c r="E40" s="12"/>
      <c r="F40" s="12"/>
      <c r="G40" s="13"/>
      <c r="H40" s="23"/>
      <c r="I40" s="12"/>
      <c r="J40" s="12"/>
      <c r="K40" s="13"/>
      <c r="L40" s="17"/>
    </row>
    <row r="41" spans="1:12">
      <c r="A41" s="16"/>
      <c r="B41" s="12"/>
      <c r="C41" s="12"/>
      <c r="D41" s="12"/>
      <c r="E41" s="12"/>
      <c r="F41" s="12"/>
      <c r="G41" s="13"/>
      <c r="H41" s="23"/>
      <c r="I41" s="12"/>
      <c r="J41" s="12"/>
      <c r="K41" s="13"/>
      <c r="L41" s="17"/>
    </row>
    <row r="42" spans="1:12">
      <c r="A42" s="16"/>
      <c r="B42" s="12"/>
      <c r="C42" s="12"/>
      <c r="D42" s="12"/>
      <c r="E42" s="12"/>
      <c r="F42" s="12"/>
      <c r="G42" s="13"/>
      <c r="H42" s="23"/>
      <c r="I42" s="12"/>
      <c r="J42" s="12"/>
      <c r="K42" s="13"/>
      <c r="L42" s="17"/>
    </row>
    <row r="43" spans="1:12">
      <c r="A43" s="16"/>
      <c r="B43" s="12"/>
      <c r="C43" s="12"/>
      <c r="D43" s="12"/>
      <c r="E43" s="12"/>
      <c r="F43" s="12"/>
      <c r="G43" s="13"/>
      <c r="H43" s="23"/>
      <c r="I43" s="12"/>
      <c r="J43" s="12"/>
      <c r="K43" s="13"/>
      <c r="L43" s="17"/>
    </row>
    <row r="44" spans="1:12">
      <c r="A44" s="16"/>
      <c r="B44" s="12"/>
      <c r="C44" s="12"/>
      <c r="D44" s="12"/>
      <c r="E44" s="12"/>
      <c r="F44" s="12"/>
      <c r="G44" s="13"/>
      <c r="H44" s="23"/>
      <c r="I44" s="12"/>
      <c r="J44" s="12"/>
      <c r="K44" s="13"/>
      <c r="L44" s="17"/>
    </row>
    <row r="45" spans="1:12">
      <c r="A45" s="16"/>
      <c r="B45" s="12"/>
      <c r="C45" s="12"/>
      <c r="D45" s="12"/>
      <c r="E45" s="12"/>
      <c r="F45" s="12"/>
      <c r="G45" s="13"/>
      <c r="H45" s="23"/>
      <c r="I45" s="12"/>
      <c r="J45" s="12"/>
      <c r="K45" s="13"/>
      <c r="L45" s="17"/>
    </row>
    <row r="46" spans="1:12">
      <c r="A46" s="16"/>
      <c r="B46" s="12"/>
      <c r="C46" s="12"/>
      <c r="D46" s="12"/>
      <c r="E46" s="12"/>
      <c r="F46" s="12"/>
      <c r="G46" s="13"/>
      <c r="H46" s="23"/>
      <c r="I46" s="12"/>
      <c r="J46" s="12"/>
      <c r="K46" s="13"/>
      <c r="L46" s="17"/>
    </row>
    <row r="47" spans="1:12">
      <c r="A47" s="16"/>
      <c r="B47" s="12"/>
      <c r="C47" s="12"/>
      <c r="D47" s="12"/>
      <c r="E47" s="12"/>
      <c r="F47" s="12"/>
      <c r="G47" s="13"/>
      <c r="H47" s="23"/>
      <c r="I47" s="12"/>
      <c r="J47" s="12"/>
      <c r="K47" s="13"/>
      <c r="L47" s="17"/>
    </row>
    <row r="48" spans="1:12">
      <c r="A48" s="16"/>
      <c r="B48" s="12"/>
      <c r="C48" s="12"/>
      <c r="D48" s="12"/>
      <c r="E48" s="12"/>
      <c r="F48" s="12"/>
      <c r="G48" s="13"/>
      <c r="H48" s="23"/>
      <c r="I48" s="12"/>
      <c r="J48" s="12"/>
      <c r="K48" s="13"/>
      <c r="L48" s="17"/>
    </row>
    <row r="49" spans="1:12">
      <c r="A49" s="16"/>
      <c r="B49" s="12"/>
      <c r="C49" s="12"/>
      <c r="D49" s="12"/>
      <c r="E49" s="12"/>
      <c r="F49" s="12"/>
      <c r="G49" s="13"/>
      <c r="H49" s="23"/>
      <c r="I49" s="12"/>
      <c r="J49" s="12"/>
      <c r="K49" s="13"/>
      <c r="L49" s="17"/>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8"/>
      <c r="B200" s="19"/>
      <c r="C200" s="19"/>
      <c r="D200" s="19"/>
      <c r="E200" s="19"/>
      <c r="F200" s="19"/>
      <c r="G200" s="20"/>
      <c r="H200" s="24"/>
      <c r="I200" s="19"/>
      <c r="J200" s="19"/>
      <c r="K200" s="20"/>
      <c r="L200" s="22"/>
    </row>
  </sheetData>
  <mergeCells count="1">
    <mergeCell ref="A1:L1"/>
  </mergeCells>
  <conditionalFormatting sqref="J3:J200">
    <cfRule type="expression" dxfId="6" priority="1">
      <formula>J3="Yes"</formula>
    </cfRule>
    <cfRule type="expression" dxfId="5" priority="2">
      <formula>J3="No"</formula>
    </cfRule>
  </conditionalFormatting>
  <dataValidations count="2">
    <dataValidation type="list" sqref="C3:C200" xr:uid="{00000000-0002-0000-0300-000000000000}">
      <formula1>"Unit 1 / Phase 1,Phase 2,Phase 3,Final"</formula1>
    </dataValidation>
    <dataValidation type="list" sqref="J3:J200" xr:uid="{00000000-0002-0000-0300-000001000000}">
      <formula1>"Yes,No"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topLeftCell="E1" workbookViewId="0">
      <selection activeCell="I4" sqref="I4"/>
    </sheetView>
  </sheetViews>
  <sheetFormatPr defaultRowHeight="13.8"/>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19.95" customHeight="1">
      <c r="A1" s="30" t="s">
        <v>0</v>
      </c>
      <c r="B1" s="31"/>
      <c r="C1" s="31"/>
      <c r="D1" s="31"/>
      <c r="E1" s="31"/>
      <c r="F1" s="31"/>
      <c r="G1" s="31"/>
      <c r="H1" s="31"/>
      <c r="I1" s="31"/>
    </row>
    <row r="2" spans="1:9" ht="27.6" customHeight="1">
      <c r="A2" s="1" t="s">
        <v>1</v>
      </c>
      <c r="B2" s="15" t="s">
        <v>2</v>
      </c>
      <c r="C2" s="15" t="s">
        <v>3</v>
      </c>
      <c r="D2" s="15" t="s">
        <v>4</v>
      </c>
      <c r="E2" s="15" t="s">
        <v>5</v>
      </c>
      <c r="F2" s="15" t="s">
        <v>6</v>
      </c>
      <c r="G2" s="15" t="s">
        <v>7</v>
      </c>
      <c r="H2" s="15" t="s">
        <v>8</v>
      </c>
      <c r="I2" s="2" t="s">
        <v>9</v>
      </c>
    </row>
    <row r="3" spans="1:9" ht="151.80000000000001" customHeight="1">
      <c r="A3" s="25">
        <v>46259</v>
      </c>
      <c r="B3" s="12" t="s">
        <v>10</v>
      </c>
      <c r="C3" s="12" t="s">
        <v>11</v>
      </c>
      <c r="D3" s="12" t="s">
        <v>12</v>
      </c>
      <c r="E3" s="12" t="s">
        <v>13</v>
      </c>
      <c r="F3" s="12" t="s">
        <v>14</v>
      </c>
      <c r="G3" s="12" t="s">
        <v>15</v>
      </c>
      <c r="H3" s="12" t="s">
        <v>16</v>
      </c>
      <c r="I3" s="17" t="s">
        <v>17</v>
      </c>
    </row>
    <row r="4" spans="1:9" ht="96.6" customHeight="1">
      <c r="A4" s="25">
        <v>46296</v>
      </c>
      <c r="B4" s="12" t="s">
        <v>18</v>
      </c>
      <c r="C4" s="12" t="s">
        <v>19</v>
      </c>
      <c r="D4" s="12" t="s">
        <v>20</v>
      </c>
      <c r="E4" s="12" t="s">
        <v>21</v>
      </c>
      <c r="F4" s="12" t="s">
        <v>14</v>
      </c>
      <c r="G4" s="12" t="s">
        <v>22</v>
      </c>
      <c r="H4" s="12" t="s">
        <v>23</v>
      </c>
      <c r="I4" s="17" t="s">
        <v>357</v>
      </c>
    </row>
    <row r="5" spans="1:9">
      <c r="A5" s="25"/>
      <c r="B5" s="12"/>
      <c r="C5" s="12"/>
      <c r="D5" s="12"/>
      <c r="E5" s="12"/>
      <c r="F5" s="12"/>
      <c r="G5" s="12"/>
      <c r="H5" s="12"/>
      <c r="I5" s="17"/>
    </row>
    <row r="6" spans="1:9">
      <c r="A6" s="25"/>
      <c r="B6" s="12"/>
      <c r="C6" s="12"/>
      <c r="D6" s="12"/>
      <c r="E6" s="12"/>
      <c r="F6" s="12"/>
      <c r="G6" s="12"/>
      <c r="H6" s="12"/>
      <c r="I6" s="17"/>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0"/>
  <sheetViews>
    <sheetView workbookViewId="0">
      <selection activeCell="C8" sqref="C8"/>
    </sheetView>
  </sheetViews>
  <sheetFormatPr defaultRowHeight="13.8"/>
  <cols>
    <col min="1" max="1" width="15" customWidth="1"/>
    <col min="2" max="2" width="19" customWidth="1"/>
    <col min="3" max="4" width="34" customWidth="1"/>
    <col min="5" max="5" width="38" customWidth="1"/>
    <col min="6" max="6" width="24" customWidth="1"/>
    <col min="7" max="8" width="14" customWidth="1"/>
  </cols>
  <sheetData>
    <row r="1" spans="1:8" ht="19.95" customHeight="1">
      <c r="A1" s="30" t="s">
        <v>273</v>
      </c>
      <c r="B1" s="31"/>
      <c r="C1" s="31"/>
      <c r="D1" s="31"/>
      <c r="E1" s="31"/>
      <c r="F1" s="31"/>
      <c r="G1" s="31"/>
      <c r="H1" s="31"/>
    </row>
    <row r="2" spans="1:8">
      <c r="A2" s="1" t="s">
        <v>274</v>
      </c>
      <c r="B2" s="15" t="s">
        <v>2</v>
      </c>
      <c r="C2" s="15" t="s">
        <v>275</v>
      </c>
      <c r="D2" s="15" t="s">
        <v>276</v>
      </c>
      <c r="E2" s="15" t="s">
        <v>277</v>
      </c>
      <c r="F2" s="15" t="s">
        <v>278</v>
      </c>
      <c r="G2" s="15" t="s">
        <v>279</v>
      </c>
      <c r="H2" s="2" t="s">
        <v>103</v>
      </c>
    </row>
    <row r="3" spans="1:8" ht="55.2" customHeight="1">
      <c r="A3" s="25">
        <v>46253</v>
      </c>
      <c r="B3" t="s">
        <v>10</v>
      </c>
      <c r="C3" s="12" t="s">
        <v>280</v>
      </c>
      <c r="D3" s="12" t="s">
        <v>281</v>
      </c>
      <c r="E3" s="12" t="s">
        <v>282</v>
      </c>
      <c r="F3" s="12" t="s">
        <v>21</v>
      </c>
      <c r="G3" s="13">
        <v>46255</v>
      </c>
      <c r="H3" s="17" t="s">
        <v>283</v>
      </c>
    </row>
    <row r="4" spans="1:8" ht="55.2" customHeight="1">
      <c r="A4" s="25">
        <v>46257</v>
      </c>
      <c r="B4" t="s">
        <v>10</v>
      </c>
      <c r="C4" s="12" t="s">
        <v>358</v>
      </c>
      <c r="D4" s="12" t="s">
        <v>359</v>
      </c>
      <c r="E4" s="12" t="s">
        <v>360</v>
      </c>
      <c r="F4" s="12" t="s">
        <v>21</v>
      </c>
      <c r="G4" s="13">
        <v>46258</v>
      </c>
      <c r="H4" s="17" t="s">
        <v>283</v>
      </c>
    </row>
    <row r="5" spans="1:8" ht="55.2" customHeight="1">
      <c r="A5" s="25">
        <v>46282</v>
      </c>
      <c r="B5" s="12" t="s">
        <v>18</v>
      </c>
      <c r="C5" s="12" t="s">
        <v>361</v>
      </c>
      <c r="D5" s="12" t="s">
        <v>362</v>
      </c>
      <c r="E5" s="12" t="s">
        <v>363</v>
      </c>
      <c r="F5" s="12" t="s">
        <v>367</v>
      </c>
      <c r="G5" s="13">
        <v>46295</v>
      </c>
      <c r="H5" s="17" t="s">
        <v>283</v>
      </c>
    </row>
    <row r="6" spans="1:8" ht="55.2" customHeight="1">
      <c r="A6" s="25">
        <v>46315</v>
      </c>
      <c r="B6" s="12" t="s">
        <v>18</v>
      </c>
      <c r="C6" s="12" t="s">
        <v>364</v>
      </c>
      <c r="D6" s="12" t="s">
        <v>365</v>
      </c>
      <c r="E6" s="12" t="s">
        <v>366</v>
      </c>
      <c r="F6" s="12" t="s">
        <v>160</v>
      </c>
      <c r="G6" s="13">
        <v>46298</v>
      </c>
      <c r="H6" s="17" t="s">
        <v>283</v>
      </c>
    </row>
    <row r="7" spans="1:8" ht="55.2" customHeight="1">
      <c r="A7" s="25">
        <v>46296</v>
      </c>
      <c r="B7" s="12" t="s">
        <v>18</v>
      </c>
      <c r="C7" s="12" t="s">
        <v>284</v>
      </c>
      <c r="D7" s="12" t="s">
        <v>285</v>
      </c>
      <c r="E7" s="12" t="s">
        <v>286</v>
      </c>
      <c r="F7" s="12" t="s">
        <v>21</v>
      </c>
      <c r="G7" s="13">
        <v>46301</v>
      </c>
      <c r="H7" s="17" t="s">
        <v>283</v>
      </c>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6"/>
      <c r="B100" s="19"/>
      <c r="C100" s="19"/>
      <c r="D100" s="19"/>
      <c r="E100" s="19"/>
      <c r="F100" s="19"/>
      <c r="G100" s="20"/>
      <c r="H100" s="22"/>
    </row>
  </sheetData>
  <mergeCells count="1">
    <mergeCell ref="A1:H1"/>
  </mergeCells>
  <conditionalFormatting sqref="H3:H100">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C3:C4 B5:B100" xr:uid="{00000000-0002-0000-0500-000001000000}">
      <formula1>"Unit 1 / Phase 1,Phase 2,Phase 3,Final"</formula1>
    </dataValidation>
    <dataValidation type="list" sqref="H3:H100" xr:uid="{00000000-0002-0000-0500-000000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B5" sqref="B5"/>
    </sheetView>
  </sheetViews>
  <sheetFormatPr defaultRowHeight="13.8"/>
  <cols>
    <col min="1" max="1" width="34" customWidth="1"/>
    <col min="2" max="2" width="58" customWidth="1"/>
    <col min="3" max="3" width="3" customWidth="1"/>
    <col min="4" max="4" width="40" customWidth="1"/>
    <col min="5" max="5" width="12" customWidth="1"/>
    <col min="6" max="6" width="3" customWidth="1"/>
  </cols>
  <sheetData>
    <row r="1" spans="1:6" ht="19.95" customHeight="1">
      <c r="A1" s="30" t="s">
        <v>287</v>
      </c>
      <c r="B1" s="31"/>
      <c r="C1" s="31"/>
      <c r="D1" s="31"/>
      <c r="E1" s="31"/>
      <c r="F1" s="31"/>
    </row>
    <row r="3" spans="1:6">
      <c r="A3" s="1" t="s">
        <v>288</v>
      </c>
      <c r="B3" s="2" t="s">
        <v>63</v>
      </c>
      <c r="D3" s="34" t="s">
        <v>289</v>
      </c>
      <c r="E3" s="31"/>
      <c r="F3" s="31"/>
    </row>
    <row r="4" spans="1:6">
      <c r="A4" s="3" t="s">
        <v>78</v>
      </c>
      <c r="B4" s="7" t="s">
        <v>18</v>
      </c>
      <c r="D4" s="3" t="s">
        <v>290</v>
      </c>
      <c r="E4" s="27" t="s">
        <v>112</v>
      </c>
    </row>
    <row r="5" spans="1:6">
      <c r="A5" s="3" t="s">
        <v>80</v>
      </c>
      <c r="B5" s="7" t="s">
        <v>291</v>
      </c>
      <c r="D5" s="3" t="s">
        <v>292</v>
      </c>
      <c r="E5" s="27" t="s">
        <v>112</v>
      </c>
    </row>
    <row r="6" spans="1:6">
      <c r="A6" s="3" t="s">
        <v>293</v>
      </c>
      <c r="B6" s="7" t="s">
        <v>68</v>
      </c>
      <c r="D6" s="3" t="s">
        <v>294</v>
      </c>
      <c r="E6" s="27" t="s">
        <v>112</v>
      </c>
    </row>
    <row r="7" spans="1:6" ht="40.049999999999997" customHeight="1">
      <c r="A7" s="3" t="s">
        <v>295</v>
      </c>
      <c r="B7" s="7" t="s">
        <v>296</v>
      </c>
      <c r="D7" s="3" t="s">
        <v>297</v>
      </c>
      <c r="E7" s="27" t="s">
        <v>112</v>
      </c>
    </row>
    <row r="8" spans="1:6" ht="40.049999999999997" customHeight="1">
      <c r="A8" s="3" t="s">
        <v>298</v>
      </c>
      <c r="B8" s="7" t="s">
        <v>299</v>
      </c>
      <c r="D8" s="3" t="s">
        <v>300</v>
      </c>
      <c r="E8" s="27" t="s">
        <v>112</v>
      </c>
    </row>
    <row r="9" spans="1:6" ht="40.049999999999997" customHeight="1">
      <c r="A9" s="3" t="s">
        <v>301</v>
      </c>
      <c r="B9" s="7" t="s">
        <v>302</v>
      </c>
      <c r="D9" s="3" t="s">
        <v>303</v>
      </c>
      <c r="E9" s="27" t="s">
        <v>112</v>
      </c>
    </row>
    <row r="10" spans="1:6" ht="40.049999999999997" customHeight="1">
      <c r="A10" s="3" t="s">
        <v>304</v>
      </c>
      <c r="B10" s="7" t="s">
        <v>305</v>
      </c>
      <c r="D10" s="3" t="s">
        <v>306</v>
      </c>
      <c r="E10" s="27" t="s">
        <v>112</v>
      </c>
    </row>
    <row r="11" spans="1:6" ht="40.049999999999997" customHeight="1">
      <c r="A11" s="3" t="s">
        <v>307</v>
      </c>
      <c r="B11" s="7" t="s">
        <v>308</v>
      </c>
      <c r="D11" s="3" t="s">
        <v>309</v>
      </c>
      <c r="E11" s="27" t="s">
        <v>112</v>
      </c>
    </row>
    <row r="12" spans="1:6" ht="40.049999999999997" customHeight="1">
      <c r="A12" s="3" t="s">
        <v>310</v>
      </c>
      <c r="B12" s="7" t="s">
        <v>311</v>
      </c>
      <c r="D12" s="5" t="s">
        <v>312</v>
      </c>
      <c r="E12" s="28" t="s">
        <v>112</v>
      </c>
    </row>
    <row r="13" spans="1:6" ht="40.049999999999997" customHeight="1">
      <c r="A13" s="5" t="s">
        <v>313</v>
      </c>
      <c r="B13" s="9" t="s">
        <v>314</v>
      </c>
    </row>
  </sheetData>
  <mergeCells count="2">
    <mergeCell ref="D3:F3"/>
    <mergeCell ref="A1:F1"/>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topLeftCell="A9" zoomScale="97" workbookViewId="0">
      <selection activeCell="B13" sqref="B13"/>
    </sheetView>
  </sheetViews>
  <sheetFormatPr defaultRowHeight="13.8"/>
  <cols>
    <col min="1" max="1" width="38" customWidth="1"/>
    <col min="2" max="2" width="62" customWidth="1"/>
    <col min="3" max="3" width="3" customWidth="1"/>
    <col min="4" max="4" width="20" customWidth="1"/>
    <col min="5" max="5" width="48" customWidth="1"/>
    <col min="6" max="6" width="3" customWidth="1"/>
  </cols>
  <sheetData>
    <row r="1" spans="1:6" ht="19.95" customHeight="1">
      <c r="A1" s="30" t="s">
        <v>52</v>
      </c>
      <c r="B1" s="31"/>
      <c r="C1" s="31"/>
      <c r="D1" s="31"/>
      <c r="E1" s="31"/>
      <c r="F1" s="31"/>
    </row>
    <row r="3" spans="1:6">
      <c r="A3" s="1" t="s">
        <v>315</v>
      </c>
      <c r="B3" s="2" t="s">
        <v>63</v>
      </c>
      <c r="D3" s="34" t="s">
        <v>316</v>
      </c>
      <c r="E3" s="31"/>
      <c r="F3" s="31"/>
    </row>
    <row r="4" spans="1:6" ht="28.05" customHeight="1">
      <c r="A4" s="3" t="s">
        <v>78</v>
      </c>
      <c r="B4" s="7" t="s">
        <v>18</v>
      </c>
      <c r="D4" s="3" t="s">
        <v>317</v>
      </c>
      <c r="E4" s="4" t="s">
        <v>318</v>
      </c>
    </row>
    <row r="5" spans="1:6" ht="28.05" customHeight="1">
      <c r="A5" s="3" t="s">
        <v>69</v>
      </c>
      <c r="B5" s="7" t="s">
        <v>70</v>
      </c>
      <c r="D5" s="3" t="s">
        <v>319</v>
      </c>
      <c r="E5" s="4" t="s">
        <v>320</v>
      </c>
    </row>
    <row r="6" spans="1:6" ht="28.05" customHeight="1">
      <c r="A6" s="3" t="s">
        <v>321</v>
      </c>
      <c r="B6" s="7" t="s">
        <v>322</v>
      </c>
      <c r="D6" s="3" t="s">
        <v>323</v>
      </c>
      <c r="E6" s="4" t="s">
        <v>324</v>
      </c>
    </row>
    <row r="7" spans="1:6" ht="28.05" customHeight="1">
      <c r="A7" s="3" t="s">
        <v>325</v>
      </c>
      <c r="B7" s="7" t="s">
        <v>326</v>
      </c>
      <c r="D7" s="3" t="s">
        <v>327</v>
      </c>
      <c r="E7" s="4" t="s">
        <v>328</v>
      </c>
    </row>
    <row r="8" spans="1:6" ht="28.05" customHeight="1">
      <c r="A8" s="3" t="s">
        <v>329</v>
      </c>
      <c r="B8" s="7" t="s">
        <v>330</v>
      </c>
      <c r="D8" s="5" t="s">
        <v>331</v>
      </c>
      <c r="E8" s="6" t="s">
        <v>332</v>
      </c>
    </row>
    <row r="9" spans="1:6" ht="49.35" customHeight="1">
      <c r="A9" s="3" t="s">
        <v>333</v>
      </c>
      <c r="B9" s="7" t="s">
        <v>334</v>
      </c>
    </row>
    <row r="10" spans="1:6" ht="49.35" customHeight="1">
      <c r="A10" s="3" t="s">
        <v>335</v>
      </c>
      <c r="B10" s="7" t="s">
        <v>336</v>
      </c>
    </row>
    <row r="11" spans="1:6" ht="49.35" customHeight="1">
      <c r="A11" s="3" t="s">
        <v>337</v>
      </c>
      <c r="B11" s="7" t="s">
        <v>338</v>
      </c>
    </row>
    <row r="12" spans="1:6" ht="49.35" customHeight="1">
      <c r="A12" s="3" t="s">
        <v>339</v>
      </c>
      <c r="B12" s="7" t="s">
        <v>340</v>
      </c>
    </row>
    <row r="13" spans="1:6" ht="49.35" customHeight="1">
      <c r="A13" s="3" t="s">
        <v>341</v>
      </c>
      <c r="B13" s="7" t="s">
        <v>342</v>
      </c>
    </row>
    <row r="14" spans="1:6" ht="49.35" customHeight="1">
      <c r="A14" s="3" t="s">
        <v>343</v>
      </c>
      <c r="B14" s="7" t="s">
        <v>344</v>
      </c>
    </row>
    <row r="15" spans="1:6" ht="49.35" customHeight="1">
      <c r="A15" s="5" t="s">
        <v>345</v>
      </c>
      <c r="B15" s="9" t="s">
        <v>346</v>
      </c>
    </row>
  </sheetData>
  <mergeCells count="2">
    <mergeCell ref="D3:F3"/>
    <mergeCell ref="A1:F1"/>
  </mergeCells>
  <dataValidations count="1">
    <dataValidation type="list" sqref="B4" xr:uid="{00000000-0002-0000-0700-000000000000}">
      <formula1>"Unit 1 / Phase 1,Phase 2,Phase 3,Final"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Molaba Junior</cp:lastModifiedBy>
  <dcterms:created xsi:type="dcterms:W3CDTF">2026-10-06T08:15:45Z</dcterms:created>
  <dcterms:modified xsi:type="dcterms:W3CDTF">2026-10-13T21:50:32Z</dcterms:modified>
</cp:coreProperties>
</file>